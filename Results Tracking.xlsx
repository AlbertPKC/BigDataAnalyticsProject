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lber\Documents\GitHub\BigDataAnalyticsProject\"/>
    </mc:Choice>
  </mc:AlternateContent>
  <xr:revisionPtr revIDLastSave="0" documentId="13_ncr:1_{DCEF12DC-309D-4862-ADAF-3938B6AFC708}" xr6:coauthVersionLast="47" xr6:coauthVersionMax="47" xr10:uidLastSave="{00000000-0000-0000-0000-000000000000}"/>
  <bookViews>
    <workbookView xWindow="-120" yWindow="-120" windowWidth="29040" windowHeight="15720" tabRatio="500" xr2:uid="{00000000-000D-0000-FFFF-FFFF00000000}"/>
  </bookViews>
  <sheets>
    <sheet name="Benchmark Log" sheetId="3" r:id="rId1"/>
    <sheet name="Legend" sheetId="1" r:id="rId2"/>
    <sheet name="Tier Reference" sheetId="2"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4" i="3" l="1"/>
  <c r="B69" i="3"/>
  <c r="B48" i="3"/>
  <c r="B49" i="3"/>
  <c r="B53" i="3"/>
  <c r="B57" i="3"/>
  <c r="B61" i="3"/>
  <c r="B75" i="3"/>
  <c r="C49" i="3"/>
  <c r="C50" i="3"/>
  <c r="C51" i="3"/>
  <c r="C52" i="3"/>
  <c r="C47" i="3"/>
  <c r="B42" i="3"/>
  <c r="C42" i="3"/>
  <c r="C43" i="3"/>
  <c r="C44" i="3"/>
  <c r="C45" i="3"/>
  <c r="C46" i="3"/>
  <c r="B36" i="3"/>
  <c r="B30" i="3"/>
  <c r="B4" i="3"/>
</calcChain>
</file>

<file path=xl/sharedStrings.xml><?xml version="1.0" encoding="utf-8"?>
<sst xmlns="http://schemas.openxmlformats.org/spreadsheetml/2006/main" count="466" uniqueCount="197">
  <si>
    <t>Column</t>
  </si>
  <si>
    <t>Meaning</t>
  </si>
  <si>
    <t>Example</t>
  </si>
  <si>
    <t>tier</t>
  </si>
  <si>
    <t>Tier number, 0-12, matching the instructions doc</t>
  </si>
  <si>
    <t>0</t>
  </si>
  <si>
    <t>tier_name</t>
  </si>
  <si>
    <t>MySQL vanilla (no index)</t>
  </si>
  <si>
    <t>engine</t>
  </si>
  <si>
    <t>Specific engine/tool used within that tier</t>
  </si>
  <si>
    <t>mysql, postgres, duckdb-csv, duckdb-table, mapreduce-streaming, spark-yarn, spark-emr, hive, athena-csv, athena-parquet, athena-iceberg, bigquery</t>
  </si>
  <si>
    <t>query_id</t>
  </si>
  <si>
    <t>Q1-Q6 per the fixed benchmark workload, or LOAD / INDEX_BUILD for one-off setup timings</t>
  </si>
  <si>
    <t>Q3</t>
  </si>
  <si>
    <t>query_type</t>
  </si>
  <si>
    <t>single-row / range / aggregation / join / single-write / range-write / setup</t>
  </si>
  <si>
    <t>aggregation</t>
  </si>
  <si>
    <t>Measured end-to-end time for that query, in seconds</t>
  </si>
  <si>
    <t>812.40</t>
  </si>
  <si>
    <t>node_spec</t>
  </si>
  <si>
    <t>1x m5.xlarge</t>
  </si>
  <si>
    <t>notes</t>
  </si>
  <si>
    <t>3rd run after 2 failed OOM attempts at default executor memory</t>
  </si>
  <si>
    <t>Tier Reference</t>
  </si>
  <si>
    <t>purpose</t>
  </si>
  <si>
    <t>MySQL indexed (+partitioned)</t>
  </si>
  <si>
    <t>Isolates the effect of indexing/partitioning alone</t>
  </si>
  <si>
    <t>Self-managed Hadoop MapReduce</t>
  </si>
  <si>
    <t>Historical distributed batch baseline</t>
  </si>
  <si>
    <t>Self-managed Spark on YARN</t>
  </si>
  <si>
    <t>Spark vs MapReduce, same hardware</t>
  </si>
  <si>
    <t>Managed service overhead vs self-managed</t>
  </si>
  <si>
    <t>EMR multi-node cluster</t>
  </si>
  <si>
    <t>Spark SQL / DataFrames (joins, windows)</t>
  </si>
  <si>
    <t>Lakehouse: S3 + Glue + Iceberg</t>
  </si>
  <si>
    <t>ACID single-write / range-write demonstration</t>
  </si>
  <si>
    <t>Athena: CSV vs Parquet vs Iceberg</t>
  </si>
  <si>
    <t>Cost-aware serverless SQL, format comparison</t>
  </si>
  <si>
    <t>Isolates query engine, same cluster/data</t>
  </si>
  <si>
    <t>Benchmark Log</t>
  </si>
  <si>
    <t>DOWNLOAD</t>
  </si>
  <si>
    <t>data-prep</t>
  </si>
  <si>
    <t>EC2 t3.medium</t>
  </si>
  <si>
    <t>awk</t>
  </si>
  <si>
    <t>SAMPLE</t>
  </si>
  <si>
    <t>md5sum</t>
  </si>
  <si>
    <t>CHECKSUM</t>
  </si>
  <si>
    <t>aws-cli</t>
  </si>
  <si>
    <t>curl</t>
  </si>
  <si>
    <t>S3_UPLOAD_FULL</t>
  </si>
  <si>
    <t>Full ~30GB source file download from Kaggle</t>
  </si>
  <si>
    <t>Single-pass, single-threaded interlaced sample of full 29GB CSV, keeping header + every even-numbered line</t>
  </si>
  <si>
    <t>Two spot-checks (sample line 5 vs original line 8, sample line 100 vs original line 198) both confirmed exact match</t>
  </si>
  <si>
    <t>S3_UPLOAD_SAMPLE</t>
  </si>
  <si>
    <t>Upload of verified 15GB sampled dataset to S3, steady 128MiB/s</t>
  </si>
  <si>
    <t>Uploading full source file to S3 Bucket for future use, steady 128MiB/s</t>
  </si>
  <si>
    <t>MySQL</t>
  </si>
  <si>
    <t>MYSQL_LOAD_FULL</t>
  </si>
  <si>
    <t>Time</t>
  </si>
  <si>
    <t>Local Machine</t>
  </si>
  <si>
    <t>MYSQL_FILTER</t>
  </si>
  <si>
    <t>Upload of full dataset to MYSQL Table, around 28MB/s read in s</t>
  </si>
  <si>
    <t>Filter dataset to MYSQL, around 178MB RAM used and 40-50 MB/s disk usage</t>
  </si>
  <si>
    <t>MYSQL_EXPORT</t>
  </si>
  <si>
    <t>Exporting MYSQL filtered sample to CSV, the default memory allocation was not enough, had to manually allocate 8GB of RAM to the task</t>
  </si>
  <si>
    <t>MYSQL_VERIFY_ROWS</t>
  </si>
  <si>
    <t>Select count from flights table to verify that all rows from sample dataset is present before continuing</t>
  </si>
  <si>
    <t>Single row</t>
  </si>
  <si>
    <t>Range</t>
  </si>
  <si>
    <t>Aggregation</t>
  </si>
  <si>
    <t>Join</t>
  </si>
  <si>
    <t>Single write</t>
  </si>
  <si>
    <t>Range write</t>
  </si>
  <si>
    <t>Full table scan to find 1 row</t>
  </si>
  <si>
    <t>JFK to LAX under 300 in June</t>
  </si>
  <si>
    <t>Average fare per route per month</t>
  </si>
  <si>
    <t>Average fare non stop vs connecting</t>
  </si>
  <si>
    <t>Insert 1 synthethic row</t>
  </si>
  <si>
    <t>Update seatsRemaining for ATL on July 4th</t>
  </si>
  <si>
    <t>Schema change</t>
  </si>
  <si>
    <t>Since legID has duplicates, create new column id to auto increment and act as index</t>
  </si>
  <si>
    <t>Create_Sequential_ID</t>
  </si>
  <si>
    <t>Create_Index_legid</t>
  </si>
  <si>
    <t>QUERY1</t>
  </si>
  <si>
    <t>QUERY3</t>
  </si>
  <si>
    <t>QUERY4</t>
  </si>
  <si>
    <t>QUERY5</t>
  </si>
  <si>
    <t>QUERY6</t>
  </si>
  <si>
    <t>QUERY2</t>
  </si>
  <si>
    <t>Create_Index_route</t>
  </si>
  <si>
    <t>Create_Index_fare</t>
  </si>
  <si>
    <t>Create INDEX based on id</t>
  </si>
  <si>
    <t>Create INDEX based on Airport start and destination pair as well as flight date</t>
  </si>
  <si>
    <t>Create INDEX based on fare</t>
  </si>
  <si>
    <t>Index_legid used, down from 84.55 seconds in Tier1</t>
  </si>
  <si>
    <t>Index_route used, down from 78.62 in Tier1</t>
  </si>
  <si>
    <t>Index unable to be used, group by on flight date is on year and month and cant be used without first creating and populating a new computed column which will not be done for this tier, the additional indexing has already slowed down querying compared to Tier1</t>
  </si>
  <si>
    <t>Index not used efficiently, the indexing does not cover full table group by without an additional covering index, not implemented for this tier</t>
  </si>
  <si>
    <t>Insert 1 synthetic row</t>
  </si>
  <si>
    <t>MYSQL chose index type full over Index_route, since it might not be selective enough for the optimizer to prefer an index lookup over full scan, slower as the update would need to maintain the four indexes on every row changed, on top the the full scan cost</t>
  </si>
  <si>
    <t>Postgres</t>
  </si>
  <si>
    <t>DuckDB</t>
  </si>
  <si>
    <t>Modern local columnar engine</t>
  </si>
  <si>
    <t>Modern indexed row store</t>
  </si>
  <si>
    <t>duckdb-csv</t>
  </si>
  <si>
    <t>SAMPLE_FILTER</t>
  </si>
  <si>
    <t>duckdb-table</t>
  </si>
  <si>
    <t>TABLE_LOAD</t>
  </si>
  <si>
    <t>duckdb</t>
  </si>
  <si>
    <t>Point lookup by legId, 1 row returned</t>
  </si>
  <si>
    <t>JFK to LAX under $300 in June, 3421 rows returned</t>
  </si>
  <si>
    <t>Average fare per route per month, 1873 rows returned</t>
  </si>
  <si>
    <t>Average fare non-stop vs connecting, 450 rows returned</t>
  </si>
  <si>
    <t>Read full itineraries.csv, keep header + every even line, write itineraries_sample.csv.</t>
  </si>
  <si>
    <t>Import sample into DuckDB</t>
  </si>
  <si>
    <t>Data Preparation (download, sample, S3 upload etc)</t>
  </si>
  <si>
    <t>PG_LOAD_FULL</t>
  </si>
  <si>
    <t>PG_SAMPLE</t>
  </si>
  <si>
    <t>PG_REWRITE</t>
  </si>
  <si>
    <t>Export filtered sample table to CSV</t>
  </si>
  <si>
    <t>PG_VERIFY_ROWS</t>
  </si>
  <si>
    <t>Row count check: 41,069,376 rows</t>
  </si>
  <si>
    <t>Create_Index_all</t>
  </si>
  <si>
    <t>PK (BIGSERIAL) + idx_legid, idx_route_date, idx_fare, combined single timing</t>
  </si>
  <si>
    <t>Loaded full 82M-row unsampled source into flights_full staging table</t>
  </si>
  <si>
    <t>Sample dataset</t>
  </si>
  <si>
    <t>mapreduce-streaming</t>
  </si>
  <si>
    <t>3 EC2 t3.medium nodes manually configured,had to configure the hdfs, yarn and mapred xml files</t>
  </si>
  <si>
    <t>3x EC2 t3.medium (1 master, 2 workers)</t>
  </si>
  <si>
    <t>Point lookup by legId, 1 row returned, no index</t>
  </si>
  <si>
    <t>spark-emr</t>
  </si>
  <si>
    <t>1x EMR m5.xlarge (single node)</t>
  </si>
  <si>
    <t>Point lookup by legId, 1 row returned, read directly from S3, default memory config</t>
  </si>
  <si>
    <t>28% faster than Tier 6 despite fewer nodes</t>
  </si>
  <si>
    <t>Similar to Tier 3/6</t>
  </si>
  <si>
    <t>3x EMR m5.xlarge (1 primary, 2 core)</t>
  </si>
  <si>
    <t>Point lookup. 2x faster than Tier 7.</t>
  </si>
  <si>
    <t>3x faster than Tier 7, horizontal scaling works</t>
  </si>
  <si>
    <t>2.3x faster than Tier 7</t>
  </si>
  <si>
    <t>Slightly faster than tier 7</t>
  </si>
  <si>
    <t>1x EMR r8a.xlarge (single node, 4 vCPU / 32GB)</t>
  </si>
  <si>
    <t>JFK to LAX under $300 in June, 3421 rows returned — matches all prior tiers</t>
  </si>
  <si>
    <t xml:space="preserve">QUERY3 </t>
  </si>
  <si>
    <t>Average fare per route per month, 1873 groups returned — matches all prior tiers</t>
  </si>
  <si>
    <t xml:space="preserve">Join </t>
  </si>
  <si>
    <t>Average fare non-stop vs connecting, 450 groups returned — matches all prior tiers</t>
  </si>
  <si>
    <t>Unable to use m5.2xlarge or m5.4xlarge,  vertical scaling tested via memory-optimized r8a.xlarge instead of more cores</t>
  </si>
  <si>
    <t>STEP1_JOIN</t>
  </si>
  <si>
    <t>STEP2_WINDOW</t>
  </si>
  <si>
    <t>Window function</t>
  </si>
  <si>
    <t>Ranked routes by avg fare per month using Window.partitionBy("month").orderBy(desc(avg_fare)), top 5 per month</t>
  </si>
  <si>
    <t>Real .join() against synthetic airport hub-size lookup table (major/mid/small hub), joined twice (starting + destination airport)</t>
  </si>
  <si>
    <t>spark-emr-iceberg</t>
  </si>
  <si>
    <t>Single-row lookup</t>
  </si>
  <si>
    <t>Iceberg point lookup. Slower than RDBMS because it relies on file pruning rather than B-tree indexes.</t>
  </si>
  <si>
    <t>Range query</t>
  </si>
  <si>
    <t>Extremely fast due to Iceberg metadata partition/file pruning skipping non-matching files.</t>
  </si>
  <si>
    <t>Full dataset aggregation across ~41M rows.</t>
  </si>
  <si>
    <t>Join/enrichment</t>
  </si>
  <si>
    <t>GroupBy aggregation across the dataset.</t>
  </si>
  <si>
    <t>Iceberg single row INSERT. Fast append operation.</t>
  </si>
  <si>
    <t>Row-level UPDATE (MERGE INTO). Computationally expensive rewrite under the hood, proving ACID updates are possible but costly.</t>
  </si>
  <si>
    <t>athena-csv</t>
  </si>
  <si>
    <t>Serverless</t>
  </si>
  <si>
    <t>Full table scan (14.48 GB). No file pruning possible on raw CSV.</t>
  </si>
  <si>
    <t>Full table scan (14.48 GB).</t>
  </si>
  <si>
    <t>athena-iceberg</t>
  </si>
  <si>
    <t>Scanned 2.12 GB. Pruned some files via stats, but no primary key index exists.</t>
  </si>
  <si>
    <t>Scanned 2.22 GB. Fast due to Parquet columnar format.</t>
  </si>
  <si>
    <t>Scanned 175.50 MB. Massive reduction via Parquet column projection (only read 4 of 27 columns).</t>
  </si>
  <si>
    <t>Scanned 185.55 MB. Same column projection benefit as Q3.</t>
  </si>
  <si>
    <t>0 bytes scanned. ACID insert via Iceberg metadata.</t>
  </si>
  <si>
    <t>Scanned 2.40 MB. Iceberg metadata isolated the exact file to update.</t>
  </si>
  <si>
    <t>Hive vs Spark SQL on EMR</t>
  </si>
  <si>
    <t>hive</t>
  </si>
  <si>
    <t>Hive on Tez/MapReduce. Slow due to intermediate data being written to disk between stages.</t>
  </si>
  <si>
    <t>spark-sql</t>
  </si>
  <si>
    <t>Spark SQL. Wall-clock includes ~17s Spark engine startup. Internal execution was 46.49s. In-memory DAG is much faster.</t>
  </si>
  <si>
    <t>One-time cost of building the dataset itself</t>
  </si>
  <si>
    <t>Baseline</t>
  </si>
  <si>
    <t>Auto-filled from the Tier Reference tab</t>
  </si>
  <si>
    <t>Hardware used</t>
  </si>
  <si>
    <t>Anything unusual: retries, errors, config tweaks</t>
  </si>
  <si>
    <t>IST3134 Benchmark Results</t>
  </si>
  <si>
    <t>LOAD</t>
  </si>
  <si>
    <t>Cold start on fresh cluster restart, row count verified 41,069,377</t>
  </si>
  <si>
    <t>sanity-check</t>
  </si>
  <si>
    <t>Single Q1 lookup to confirm cluster and S3 path matched tier 9 before join/window work. Not a benchmark run. Faster than tier 9 QUERY1 at 76.485s on identical spec</t>
  </si>
  <si>
    <t>time</t>
  </si>
  <si>
    <t>Horizontal scaling test, resource-matched to Tier 7</t>
  </si>
  <si>
    <t>Vertical scaling test, with one node with more RAM</t>
  </si>
  <si>
    <t>Explicit query-layer explanation</t>
  </si>
  <si>
    <t>Single EMR node</t>
  </si>
  <si>
    <t>Larger EMR node</t>
  </si>
  <si>
    <t>Multi-node EMR cluster</t>
  </si>
  <si>
    <t>Hive vs Spark SQL</t>
  </si>
  <si>
    <t>query_name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</si>
</sst>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4"/>
      <name val="Arial"/>
      <charset val="1"/>
    </font>
    <font>
      <b/>
      <sz val="11"/>
      <color rgb="FFFFFFFF"/>
      <name val="Arial"/>
      <charset val="1"/>
    </font>
    <font>
      <sz val="10"/>
      <name val="Arial"/>
      <charset val="1"/>
    </font>
    <font>
      <sz val="10"/>
      <color rgb="FF808080"/>
      <name val="Arial"/>
      <charset val="1"/>
    </font>
    <font>
      <sz val="10"/>
      <name val="Arial"/>
      <family val="2"/>
    </font>
    <font>
      <b/>
      <sz val="11"/>
      <color rgb="FFFFFFFF"/>
      <name val="Arial"/>
      <family val="2"/>
    </font>
    <font>
      <sz val="8"/>
      <name val="Calibri"/>
      <family val="2"/>
      <charset val="1"/>
    </font>
  </fonts>
  <fills count="3">
    <fill>
      <patternFill patternType="none"/>
    </fill>
    <fill>
      <patternFill patternType="gray125"/>
    </fill>
    <fill>
      <patternFill patternType="solid">
        <fgColor rgb="FF1F4E78"/>
        <bgColor rgb="FF003366"/>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s>
  <cellStyleXfs count="1">
    <xf numFmtId="0" fontId="0" fillId="0" borderId="0"/>
  </cellStyleXfs>
  <cellXfs count="20">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0" borderId="1" xfId="0" applyFont="1" applyBorder="1" applyAlignment="1">
      <alignment vertical="top" wrapText="1"/>
    </xf>
    <xf numFmtId="0" fontId="4" fillId="0" borderId="0" xfId="0" applyFont="1"/>
    <xf numFmtId="0" fontId="0" fillId="0" borderId="0" xfId="0" applyAlignment="1">
      <alignment horizontal="right"/>
    </xf>
    <xf numFmtId="0" fontId="3" fillId="0" borderId="2" xfId="0" applyFont="1" applyBorder="1" applyAlignment="1">
      <alignment vertical="top" wrapText="1"/>
    </xf>
    <xf numFmtId="0" fontId="5" fillId="0" borderId="1" xfId="0" applyFont="1" applyBorder="1" applyAlignment="1">
      <alignment vertical="top"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5" fillId="0" borderId="3" xfId="0" applyFont="1" applyFill="1" applyBorder="1" applyAlignment="1">
      <alignment vertical="top"/>
    </xf>
    <xf numFmtId="0" fontId="5" fillId="0" borderId="1" xfId="0" applyFont="1" applyFill="1" applyBorder="1" applyAlignment="1">
      <alignment vertical="top"/>
    </xf>
    <xf numFmtId="0" fontId="5" fillId="0" borderId="1" xfId="0" applyFont="1" applyFill="1" applyBorder="1" applyAlignment="1">
      <alignment horizontal="right" vertical="top"/>
    </xf>
    <xf numFmtId="0" fontId="5" fillId="0" borderId="4" xfId="0" applyFont="1" applyFill="1" applyBorder="1" applyAlignment="1">
      <alignment vertical="top" wrapText="1"/>
    </xf>
    <xf numFmtId="0" fontId="5" fillId="0" borderId="4" xfId="0" applyFont="1" applyFill="1" applyBorder="1" applyAlignment="1">
      <alignment vertical="top"/>
    </xf>
    <xf numFmtId="0" fontId="5" fillId="0" borderId="8" xfId="0" applyFont="1" applyFill="1" applyBorder="1" applyAlignment="1">
      <alignment vertical="top"/>
    </xf>
    <xf numFmtId="0" fontId="5" fillId="0" borderId="9" xfId="0" applyFont="1" applyFill="1" applyBorder="1" applyAlignment="1">
      <alignment vertical="top"/>
    </xf>
    <xf numFmtId="0" fontId="5" fillId="0" borderId="10" xfId="0" applyFont="1" applyFill="1" applyBorder="1" applyAlignment="1">
      <alignment vertical="top"/>
    </xf>
  </cellXfs>
  <cellStyles count="1">
    <cellStyle name="Normal" xfId="0" builtinId="0"/>
  </cellStyles>
  <dxfs count="13">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general" vertical="top" textRotation="0" wrapText="0" indent="0" justifyLastLine="0" shrinkToFit="0" readingOrder="0"/>
    </dxf>
    <dxf>
      <font>
        <b/>
        <i val="0"/>
        <strike val="0"/>
        <condense val="0"/>
        <extend val="0"/>
        <outline val="0"/>
        <shadow val="0"/>
        <u val="none"/>
        <vertAlign val="baseline"/>
        <sz val="11"/>
        <color rgb="FFFFFFFF"/>
        <name val="Arial"/>
        <charset val="1"/>
        <scheme val="none"/>
      </font>
      <fill>
        <patternFill patternType="solid">
          <fgColor rgb="FF003366"/>
          <bgColor rgb="FF1F4E78"/>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style="thin">
          <color rgb="FFBFBFBF"/>
        </left>
        <right/>
        <top style="thin">
          <color rgb="FFBFBFBF"/>
        </top>
        <bottom style="thin">
          <color rgb="FFBFBFBF"/>
        </bottom>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right style="thin">
          <color rgb="FFBFBFBF"/>
        </right>
        <top style="thin">
          <color rgb="FFBFBFBF"/>
        </top>
        <bottom style="thin">
          <color rgb="FFBFBFBF"/>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D30007-3E61-41A6-940D-EC9A08743681}" name="Table1" displayName="Table1" ref="A3:H86" totalsRowShown="0" headerRowDxfId="4" dataDxfId="3" headerRowBorderDxfId="1" tableBorderDxfId="2" totalsRowBorderDxfId="0">
  <autoFilter ref="A3:H86" xr:uid="{52D30007-3E61-41A6-940D-EC9A08743681}"/>
  <tableColumns count="8">
    <tableColumn id="1" xr3:uid="{78D88C5F-4085-465E-B282-0F00A1FD788C}" name="tier" dataDxfId="12"/>
    <tableColumn id="2" xr3:uid="{C8B38E53-8CB2-4DA5-BFE2-2A61E2D17784}" name="tier_name" dataDxfId="11"/>
    <tableColumn id="3" xr3:uid="{BE06E10A-AEE4-4032-854B-D82292E28037}" name="engine" dataDxfId="10"/>
    <tableColumn id="4" xr3:uid="{FFC6CC5F-E1C7-4321-B387-9BE6C0AA813C}" name="query_name" dataDxfId="9"/>
    <tableColumn id="5" xr3:uid="{7CDB7D50-CA5F-4508-96B7-0963A5FBC927}" name="query_type" dataDxfId="8"/>
    <tableColumn id="6" xr3:uid="{EE262F31-2076-453A-9AC8-D42FA35FC863}" name="Time" dataDxfId="7"/>
    <tableColumn id="7" xr3:uid="{A3154DB9-C0FC-4EDA-A4F8-4B2F97A91979}" name="node_spec" dataDxfId="6"/>
    <tableColumn id="8" xr3:uid="{772AAB55-D9EE-4A96-849E-21E1174FEA15}" name="notes" dataDxfId="5"/>
  </tableColumns>
  <tableStyleInfo name="TableStyleLight7"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90"/>
  <sheetViews>
    <sheetView tabSelected="1" zoomScale="85" zoomScaleNormal="85" workbookViewId="0">
      <pane ySplit="3" topLeftCell="A4" activePane="bottomLeft" state="frozen"/>
      <selection pane="bottomLeft" activeCell="G88" sqref="G88"/>
    </sheetView>
  </sheetViews>
  <sheetFormatPr defaultColWidth="8.7109375" defaultRowHeight="15" x14ac:dyDescent="0.25"/>
  <cols>
    <col min="1" max="1" width="6.42578125" customWidth="1"/>
    <col min="2" max="2" width="57.28515625" customWidth="1"/>
    <col min="3" max="3" width="28.7109375" customWidth="1"/>
    <col min="4" max="4" width="21.140625" customWidth="1"/>
    <col min="5" max="5" width="16" customWidth="1"/>
    <col min="6" max="6" width="18" style="5" customWidth="1"/>
    <col min="7" max="7" width="36.7109375" customWidth="1"/>
    <col min="8" max="8" width="130.85546875" customWidth="1"/>
  </cols>
  <sheetData>
    <row r="1" spans="1:8" ht="18" x14ac:dyDescent="0.25">
      <c r="A1" s="1" t="s">
        <v>39</v>
      </c>
    </row>
    <row r="3" spans="1:8" x14ac:dyDescent="0.25">
      <c r="A3" s="8" t="s">
        <v>3</v>
      </c>
      <c r="B3" s="9" t="s">
        <v>6</v>
      </c>
      <c r="C3" s="9" t="s">
        <v>8</v>
      </c>
      <c r="D3" s="9" t="s">
        <v>196</v>
      </c>
      <c r="E3" s="9" t="s">
        <v>14</v>
      </c>
      <c r="F3" s="10" t="s">
        <v>58</v>
      </c>
      <c r="G3" s="9" t="s">
        <v>19</v>
      </c>
      <c r="H3" s="11" t="s">
        <v>21</v>
      </c>
    </row>
    <row r="4" spans="1:8" x14ac:dyDescent="0.25">
      <c r="A4" s="12">
        <v>0</v>
      </c>
      <c r="B4" s="13" t="str">
        <f>IFERROR(INDEX('Tier Reference'!$B:$B,MATCH(A4,'Tier Reference'!$A:$A,0)),"")</f>
        <v>Data Preparation (download, sample, S3 upload etc)</v>
      </c>
      <c r="C4" s="13" t="s">
        <v>48</v>
      </c>
      <c r="D4" s="13" t="s">
        <v>40</v>
      </c>
      <c r="E4" s="13" t="s">
        <v>41</v>
      </c>
      <c r="F4" s="14">
        <v>41</v>
      </c>
      <c r="G4" s="13" t="s">
        <v>42</v>
      </c>
      <c r="H4" s="15" t="s">
        <v>50</v>
      </c>
    </row>
    <row r="5" spans="1:8" x14ac:dyDescent="0.25">
      <c r="A5" s="12">
        <v>0</v>
      </c>
      <c r="B5" s="13"/>
      <c r="C5" s="13" t="s">
        <v>47</v>
      </c>
      <c r="D5" s="13" t="s">
        <v>49</v>
      </c>
      <c r="E5" s="13" t="s">
        <v>41</v>
      </c>
      <c r="F5" s="14">
        <v>238</v>
      </c>
      <c r="G5" s="13" t="s">
        <v>42</v>
      </c>
      <c r="H5" s="15" t="s">
        <v>55</v>
      </c>
    </row>
    <row r="6" spans="1:8" x14ac:dyDescent="0.25">
      <c r="A6" s="12">
        <v>0</v>
      </c>
      <c r="B6" s="13"/>
      <c r="C6" s="13" t="s">
        <v>43</v>
      </c>
      <c r="D6" s="13" t="s">
        <v>44</v>
      </c>
      <c r="E6" s="13" t="s">
        <v>41</v>
      </c>
      <c r="F6" s="14">
        <v>351</v>
      </c>
      <c r="G6" s="13" t="s">
        <v>42</v>
      </c>
      <c r="H6" s="15" t="s">
        <v>51</v>
      </c>
    </row>
    <row r="7" spans="1:8" x14ac:dyDescent="0.25">
      <c r="A7" s="12">
        <v>0</v>
      </c>
      <c r="B7" s="13"/>
      <c r="C7" s="13" t="s">
        <v>45</v>
      </c>
      <c r="D7" s="13" t="s">
        <v>46</v>
      </c>
      <c r="E7" s="13" t="s">
        <v>41</v>
      </c>
      <c r="F7" s="14">
        <v>117</v>
      </c>
      <c r="G7" s="13" t="s">
        <v>42</v>
      </c>
      <c r="H7" s="15" t="s">
        <v>52</v>
      </c>
    </row>
    <row r="8" spans="1:8" x14ac:dyDescent="0.25">
      <c r="A8" s="12">
        <v>0</v>
      </c>
      <c r="B8" s="13"/>
      <c r="C8" s="13" t="s">
        <v>47</v>
      </c>
      <c r="D8" s="13" t="s">
        <v>53</v>
      </c>
      <c r="E8" s="13" t="s">
        <v>41</v>
      </c>
      <c r="F8" s="14">
        <v>119</v>
      </c>
      <c r="G8" s="13" t="s">
        <v>42</v>
      </c>
      <c r="H8" s="15" t="s">
        <v>54</v>
      </c>
    </row>
    <row r="9" spans="1:8" x14ac:dyDescent="0.25">
      <c r="A9" s="12">
        <v>0</v>
      </c>
      <c r="B9" s="13"/>
      <c r="C9" s="13" t="s">
        <v>56</v>
      </c>
      <c r="D9" s="13" t="s">
        <v>57</v>
      </c>
      <c r="E9" s="13" t="s">
        <v>41</v>
      </c>
      <c r="F9" s="14">
        <v>2526</v>
      </c>
      <c r="G9" s="13" t="s">
        <v>59</v>
      </c>
      <c r="H9" s="15" t="s">
        <v>61</v>
      </c>
    </row>
    <row r="10" spans="1:8" x14ac:dyDescent="0.25">
      <c r="A10" s="12">
        <v>0</v>
      </c>
      <c r="B10" s="13"/>
      <c r="C10" s="13" t="s">
        <v>56</v>
      </c>
      <c r="D10" s="13" t="s">
        <v>60</v>
      </c>
      <c r="E10" s="13" t="s">
        <v>41</v>
      </c>
      <c r="F10" s="14">
        <v>2550</v>
      </c>
      <c r="G10" s="13" t="s">
        <v>59</v>
      </c>
      <c r="H10" s="15" t="s">
        <v>62</v>
      </c>
    </row>
    <row r="11" spans="1:8" x14ac:dyDescent="0.25">
      <c r="A11" s="12">
        <v>0</v>
      </c>
      <c r="B11" s="13"/>
      <c r="C11" s="13" t="s">
        <v>56</v>
      </c>
      <c r="D11" s="13" t="s">
        <v>63</v>
      </c>
      <c r="E11" s="13" t="s">
        <v>41</v>
      </c>
      <c r="F11" s="14">
        <v>6540</v>
      </c>
      <c r="G11" s="13" t="s">
        <v>59</v>
      </c>
      <c r="H11" s="15" t="s">
        <v>64</v>
      </c>
    </row>
    <row r="12" spans="1:8" x14ac:dyDescent="0.25">
      <c r="A12" s="12">
        <v>0</v>
      </c>
      <c r="B12" s="13"/>
      <c r="C12" s="13" t="s">
        <v>56</v>
      </c>
      <c r="D12" s="13" t="s">
        <v>65</v>
      </c>
      <c r="E12" s="13" t="s">
        <v>41</v>
      </c>
      <c r="F12" s="14">
        <v>30.91</v>
      </c>
      <c r="G12" s="13" t="s">
        <v>59</v>
      </c>
      <c r="H12" s="15" t="s">
        <v>66</v>
      </c>
    </row>
    <row r="13" spans="1:8" x14ac:dyDescent="0.25">
      <c r="A13" s="12">
        <v>0</v>
      </c>
      <c r="B13" s="13"/>
      <c r="C13" s="13" t="s">
        <v>56</v>
      </c>
      <c r="D13" s="13" t="s">
        <v>81</v>
      </c>
      <c r="E13" s="13" t="s">
        <v>79</v>
      </c>
      <c r="F13" s="14">
        <v>8194.5300000000007</v>
      </c>
      <c r="G13" s="13" t="s">
        <v>59</v>
      </c>
      <c r="H13" s="15" t="s">
        <v>80</v>
      </c>
    </row>
    <row r="14" spans="1:8" x14ac:dyDescent="0.25">
      <c r="A14" s="12">
        <v>0</v>
      </c>
      <c r="B14" s="13"/>
      <c r="C14" s="13" t="s">
        <v>56</v>
      </c>
      <c r="D14" s="13" t="s">
        <v>82</v>
      </c>
      <c r="E14" s="13" t="s">
        <v>79</v>
      </c>
      <c r="F14" s="14">
        <v>328.14</v>
      </c>
      <c r="G14" s="13" t="s">
        <v>59</v>
      </c>
      <c r="H14" s="15" t="s">
        <v>91</v>
      </c>
    </row>
    <row r="15" spans="1:8" x14ac:dyDescent="0.25">
      <c r="A15" s="12">
        <v>0</v>
      </c>
      <c r="B15" s="13"/>
      <c r="C15" s="13" t="s">
        <v>56</v>
      </c>
      <c r="D15" s="13" t="s">
        <v>89</v>
      </c>
      <c r="E15" s="13" t="s">
        <v>79</v>
      </c>
      <c r="F15" s="14">
        <v>297.07</v>
      </c>
      <c r="G15" s="13" t="s">
        <v>59</v>
      </c>
      <c r="H15" s="15" t="s">
        <v>92</v>
      </c>
    </row>
    <row r="16" spans="1:8" x14ac:dyDescent="0.25">
      <c r="A16" s="12">
        <v>0</v>
      </c>
      <c r="B16" s="13"/>
      <c r="C16" s="13" t="s">
        <v>56</v>
      </c>
      <c r="D16" s="13" t="s">
        <v>90</v>
      </c>
      <c r="E16" s="13" t="s">
        <v>79</v>
      </c>
      <c r="F16" s="14">
        <v>211.48</v>
      </c>
      <c r="G16" s="13" t="s">
        <v>59</v>
      </c>
      <c r="H16" s="15" t="s">
        <v>93</v>
      </c>
    </row>
    <row r="17" spans="1:8" x14ac:dyDescent="0.25">
      <c r="A17" s="12">
        <v>0</v>
      </c>
      <c r="B17" s="13"/>
      <c r="C17" s="13" t="s">
        <v>104</v>
      </c>
      <c r="D17" s="13" t="s">
        <v>105</v>
      </c>
      <c r="E17" s="13" t="s">
        <v>41</v>
      </c>
      <c r="F17" s="14">
        <v>169.05</v>
      </c>
      <c r="G17" s="13" t="s">
        <v>59</v>
      </c>
      <c r="H17" s="15" t="s">
        <v>113</v>
      </c>
    </row>
    <row r="18" spans="1:8" x14ac:dyDescent="0.25">
      <c r="A18" s="12">
        <v>0</v>
      </c>
      <c r="B18" s="13"/>
      <c r="C18" s="13" t="s">
        <v>106</v>
      </c>
      <c r="D18" s="13" t="s">
        <v>107</v>
      </c>
      <c r="E18" s="13" t="s">
        <v>41</v>
      </c>
      <c r="F18" s="14">
        <v>182.93</v>
      </c>
      <c r="G18" s="13" t="s">
        <v>59</v>
      </c>
      <c r="H18" s="15" t="s">
        <v>114</v>
      </c>
    </row>
    <row r="19" spans="1:8" x14ac:dyDescent="0.25">
      <c r="A19" s="12">
        <v>0</v>
      </c>
      <c r="B19" s="13"/>
      <c r="C19" s="13" t="s">
        <v>100</v>
      </c>
      <c r="D19" s="13" t="s">
        <v>116</v>
      </c>
      <c r="E19" s="13" t="s">
        <v>41</v>
      </c>
      <c r="F19" s="13">
        <v>1870.99</v>
      </c>
      <c r="G19" s="13" t="s">
        <v>59</v>
      </c>
      <c r="H19" s="16" t="s">
        <v>124</v>
      </c>
    </row>
    <row r="20" spans="1:8" x14ac:dyDescent="0.25">
      <c r="A20" s="12">
        <v>0</v>
      </c>
      <c r="B20" s="13"/>
      <c r="C20" s="13" t="s">
        <v>100</v>
      </c>
      <c r="D20" s="13" t="s">
        <v>117</v>
      </c>
      <c r="E20" s="13" t="s">
        <v>41</v>
      </c>
      <c r="F20" s="13">
        <v>1678.68</v>
      </c>
      <c r="G20" s="13" t="s">
        <v>59</v>
      </c>
      <c r="H20" s="16" t="s">
        <v>125</v>
      </c>
    </row>
    <row r="21" spans="1:8" x14ac:dyDescent="0.25">
      <c r="A21" s="12">
        <v>0</v>
      </c>
      <c r="B21" s="13"/>
      <c r="C21" s="13" t="s">
        <v>100</v>
      </c>
      <c r="D21" s="13" t="s">
        <v>118</v>
      </c>
      <c r="E21" s="13" t="s">
        <v>41</v>
      </c>
      <c r="F21" s="13">
        <v>947.39</v>
      </c>
      <c r="G21" s="13" t="s">
        <v>59</v>
      </c>
      <c r="H21" s="16" t="s">
        <v>119</v>
      </c>
    </row>
    <row r="22" spans="1:8" x14ac:dyDescent="0.25">
      <c r="A22" s="12">
        <v>0</v>
      </c>
      <c r="B22" s="13"/>
      <c r="C22" s="13" t="s">
        <v>100</v>
      </c>
      <c r="D22" s="13" t="s">
        <v>120</v>
      </c>
      <c r="E22" s="13" t="s">
        <v>41</v>
      </c>
      <c r="F22" s="13">
        <v>26.78</v>
      </c>
      <c r="G22" s="13" t="s">
        <v>59</v>
      </c>
      <c r="H22" s="16" t="s">
        <v>121</v>
      </c>
    </row>
    <row r="23" spans="1:8" x14ac:dyDescent="0.25">
      <c r="A23" s="12">
        <v>0</v>
      </c>
      <c r="B23" s="13"/>
      <c r="C23" s="13" t="s">
        <v>100</v>
      </c>
      <c r="D23" s="13" t="s">
        <v>122</v>
      </c>
      <c r="E23" s="13" t="s">
        <v>79</v>
      </c>
      <c r="F23" s="13">
        <v>1090.53</v>
      </c>
      <c r="G23" s="13" t="s">
        <v>59</v>
      </c>
      <c r="H23" s="16" t="s">
        <v>123</v>
      </c>
    </row>
    <row r="24" spans="1:8" x14ac:dyDescent="0.25">
      <c r="A24" s="12">
        <v>1</v>
      </c>
      <c r="B24" s="13" t="str">
        <f>IFERROR(INDEX('Tier Reference'!$B:$B,MATCH(A24,'Tier Reference'!$A:$A,0)),"")</f>
        <v>MySQL vanilla (no index)</v>
      </c>
      <c r="C24" s="13" t="s">
        <v>56</v>
      </c>
      <c r="D24" s="13" t="s">
        <v>83</v>
      </c>
      <c r="E24" s="13" t="s">
        <v>67</v>
      </c>
      <c r="F24" s="14">
        <v>77</v>
      </c>
      <c r="G24" s="13" t="s">
        <v>59</v>
      </c>
      <c r="H24" s="15" t="s">
        <v>73</v>
      </c>
    </row>
    <row r="25" spans="1:8" x14ac:dyDescent="0.25">
      <c r="A25" s="12">
        <v>1</v>
      </c>
      <c r="B25" s="13"/>
      <c r="C25" s="13" t="s">
        <v>56</v>
      </c>
      <c r="D25" s="13" t="s">
        <v>88</v>
      </c>
      <c r="E25" s="13" t="s">
        <v>68</v>
      </c>
      <c r="F25" s="14">
        <v>125</v>
      </c>
      <c r="G25" s="13" t="s">
        <v>59</v>
      </c>
      <c r="H25" s="15" t="s">
        <v>74</v>
      </c>
    </row>
    <row r="26" spans="1:8" x14ac:dyDescent="0.25">
      <c r="A26" s="12">
        <v>1</v>
      </c>
      <c r="B26" s="13"/>
      <c r="C26" s="13" t="s">
        <v>56</v>
      </c>
      <c r="D26" s="13" t="s">
        <v>84</v>
      </c>
      <c r="E26" s="13" t="s">
        <v>69</v>
      </c>
      <c r="F26" s="14">
        <v>284</v>
      </c>
      <c r="G26" s="13" t="s">
        <v>59</v>
      </c>
      <c r="H26" s="15" t="s">
        <v>75</v>
      </c>
    </row>
    <row r="27" spans="1:8" x14ac:dyDescent="0.25">
      <c r="A27" s="12">
        <v>1</v>
      </c>
      <c r="B27" s="13"/>
      <c r="C27" s="13" t="s">
        <v>56</v>
      </c>
      <c r="D27" s="13" t="s">
        <v>85</v>
      </c>
      <c r="E27" s="13" t="s">
        <v>70</v>
      </c>
      <c r="F27" s="14">
        <v>89</v>
      </c>
      <c r="G27" s="13" t="s">
        <v>59</v>
      </c>
      <c r="H27" s="15" t="s">
        <v>76</v>
      </c>
    </row>
    <row r="28" spans="1:8" x14ac:dyDescent="0.25">
      <c r="A28" s="12">
        <v>1</v>
      </c>
      <c r="B28" s="13"/>
      <c r="C28" s="13" t="s">
        <v>56</v>
      </c>
      <c r="D28" s="13" t="s">
        <v>86</v>
      </c>
      <c r="E28" s="13" t="s">
        <v>71</v>
      </c>
      <c r="F28" s="14">
        <v>0.05</v>
      </c>
      <c r="G28" s="13" t="s">
        <v>59</v>
      </c>
      <c r="H28" s="15" t="s">
        <v>77</v>
      </c>
    </row>
    <row r="29" spans="1:8" x14ac:dyDescent="0.25">
      <c r="A29" s="12">
        <v>1</v>
      </c>
      <c r="B29" s="13"/>
      <c r="C29" s="13" t="s">
        <v>56</v>
      </c>
      <c r="D29" s="13" t="s">
        <v>87</v>
      </c>
      <c r="E29" s="13" t="s">
        <v>72</v>
      </c>
      <c r="F29" s="14">
        <v>108</v>
      </c>
      <c r="G29" s="13" t="s">
        <v>59</v>
      </c>
      <c r="H29" s="15" t="s">
        <v>78</v>
      </c>
    </row>
    <row r="30" spans="1:8" x14ac:dyDescent="0.25">
      <c r="A30" s="12">
        <v>2</v>
      </c>
      <c r="B30" s="13" t="str">
        <f>IFERROR(INDEX('Tier Reference'!$B:$B,MATCH(A30,'Tier Reference'!$A:$A,0)),"")</f>
        <v>MySQL indexed (+partitioned)</v>
      </c>
      <c r="C30" s="13" t="s">
        <v>56</v>
      </c>
      <c r="D30" s="13" t="s">
        <v>83</v>
      </c>
      <c r="E30" s="13" t="s">
        <v>67</v>
      </c>
      <c r="F30" s="14">
        <v>0.01</v>
      </c>
      <c r="G30" s="13" t="s">
        <v>59</v>
      </c>
      <c r="H30" s="15" t="s">
        <v>94</v>
      </c>
    </row>
    <row r="31" spans="1:8" x14ac:dyDescent="0.25">
      <c r="A31" s="12">
        <v>2</v>
      </c>
      <c r="B31" s="13"/>
      <c r="C31" s="13" t="s">
        <v>56</v>
      </c>
      <c r="D31" s="13" t="s">
        <v>88</v>
      </c>
      <c r="E31" s="13" t="s">
        <v>68</v>
      </c>
      <c r="F31" s="14">
        <v>0.25</v>
      </c>
      <c r="G31" s="13" t="s">
        <v>59</v>
      </c>
      <c r="H31" s="15" t="s">
        <v>95</v>
      </c>
    </row>
    <row r="32" spans="1:8" ht="25.5" x14ac:dyDescent="0.25">
      <c r="A32" s="12">
        <v>2</v>
      </c>
      <c r="B32" s="13"/>
      <c r="C32" s="13" t="s">
        <v>56</v>
      </c>
      <c r="D32" s="13" t="s">
        <v>84</v>
      </c>
      <c r="E32" s="13" t="s">
        <v>69</v>
      </c>
      <c r="F32" s="14">
        <v>423.06</v>
      </c>
      <c r="G32" s="13" t="s">
        <v>59</v>
      </c>
      <c r="H32" s="15" t="s">
        <v>96</v>
      </c>
    </row>
    <row r="33" spans="1:8" x14ac:dyDescent="0.25">
      <c r="A33" s="12">
        <v>2</v>
      </c>
      <c r="B33" s="13"/>
      <c r="C33" s="13" t="s">
        <v>56</v>
      </c>
      <c r="D33" s="13" t="s">
        <v>85</v>
      </c>
      <c r="E33" s="13" t="s">
        <v>70</v>
      </c>
      <c r="F33" s="14">
        <v>154.91999999999999</v>
      </c>
      <c r="G33" s="13" t="s">
        <v>59</v>
      </c>
      <c r="H33" s="15" t="s">
        <v>97</v>
      </c>
    </row>
    <row r="34" spans="1:8" x14ac:dyDescent="0.25">
      <c r="A34" s="12">
        <v>2</v>
      </c>
      <c r="B34" s="13"/>
      <c r="C34" s="13" t="s">
        <v>56</v>
      </c>
      <c r="D34" s="13" t="s">
        <v>86</v>
      </c>
      <c r="E34" s="13" t="s">
        <v>71</v>
      </c>
      <c r="F34" s="14">
        <v>0.02</v>
      </c>
      <c r="G34" s="13" t="s">
        <v>59</v>
      </c>
      <c r="H34" s="15" t="s">
        <v>98</v>
      </c>
    </row>
    <row r="35" spans="1:8" ht="25.5" x14ac:dyDescent="0.25">
      <c r="A35" s="12">
        <v>2</v>
      </c>
      <c r="B35" s="13"/>
      <c r="C35" s="13" t="s">
        <v>56</v>
      </c>
      <c r="D35" s="13" t="s">
        <v>87</v>
      </c>
      <c r="E35" s="13" t="s">
        <v>72</v>
      </c>
      <c r="F35" s="14">
        <v>211.03</v>
      </c>
      <c r="G35" s="13" t="s">
        <v>59</v>
      </c>
      <c r="H35" s="15" t="s">
        <v>99</v>
      </c>
    </row>
    <row r="36" spans="1:8" x14ac:dyDescent="0.25">
      <c r="A36" s="12">
        <v>3</v>
      </c>
      <c r="B36" s="13" t="str">
        <f>IFERROR(INDEX('Tier Reference'!$B:$B,MATCH(A36,'Tier Reference'!$A:$A,0)),"")</f>
        <v>DuckDB</v>
      </c>
      <c r="C36" s="13" t="s">
        <v>108</v>
      </c>
      <c r="D36" s="13" t="s">
        <v>83</v>
      </c>
      <c r="E36" s="13" t="s">
        <v>67</v>
      </c>
      <c r="F36" s="14">
        <v>8.6369000000000007</v>
      </c>
      <c r="G36" s="13" t="s">
        <v>59</v>
      </c>
      <c r="H36" s="15" t="s">
        <v>109</v>
      </c>
    </row>
    <row r="37" spans="1:8" x14ac:dyDescent="0.25">
      <c r="A37" s="12">
        <v>3</v>
      </c>
      <c r="B37" s="13"/>
      <c r="C37" s="13" t="s">
        <v>108</v>
      </c>
      <c r="D37" s="13" t="s">
        <v>88</v>
      </c>
      <c r="E37" s="13" t="s">
        <v>68</v>
      </c>
      <c r="F37" s="14">
        <v>29.774699999999999</v>
      </c>
      <c r="G37" s="13" t="s">
        <v>59</v>
      </c>
      <c r="H37" s="15" t="s">
        <v>110</v>
      </c>
    </row>
    <row r="38" spans="1:8" x14ac:dyDescent="0.25">
      <c r="A38" s="12">
        <v>3</v>
      </c>
      <c r="B38" s="13"/>
      <c r="C38" s="13" t="s">
        <v>108</v>
      </c>
      <c r="D38" s="13" t="s">
        <v>84</v>
      </c>
      <c r="E38" s="13" t="s">
        <v>69</v>
      </c>
      <c r="F38" s="14">
        <v>10.0253</v>
      </c>
      <c r="G38" s="13" t="s">
        <v>59</v>
      </c>
      <c r="H38" s="15" t="s">
        <v>111</v>
      </c>
    </row>
    <row r="39" spans="1:8" x14ac:dyDescent="0.25">
      <c r="A39" s="12">
        <v>3</v>
      </c>
      <c r="B39" s="13"/>
      <c r="C39" s="13" t="s">
        <v>108</v>
      </c>
      <c r="D39" s="13" t="s">
        <v>85</v>
      </c>
      <c r="E39" s="13" t="s">
        <v>69</v>
      </c>
      <c r="F39" s="14">
        <v>1.6578999999999999</v>
      </c>
      <c r="G39" s="13" t="s">
        <v>59</v>
      </c>
      <c r="H39" s="15" t="s">
        <v>112</v>
      </c>
    </row>
    <row r="40" spans="1:8" x14ac:dyDescent="0.25">
      <c r="A40" s="12">
        <v>3</v>
      </c>
      <c r="B40" s="13"/>
      <c r="C40" s="13" t="s">
        <v>108</v>
      </c>
      <c r="D40" s="13" t="s">
        <v>86</v>
      </c>
      <c r="E40" s="13" t="s">
        <v>71</v>
      </c>
      <c r="F40" s="14">
        <v>0.11409999999999999</v>
      </c>
      <c r="G40" s="13" t="s">
        <v>59</v>
      </c>
      <c r="H40" s="15" t="s">
        <v>98</v>
      </c>
    </row>
    <row r="41" spans="1:8" x14ac:dyDescent="0.25">
      <c r="A41" s="12">
        <v>3</v>
      </c>
      <c r="B41" s="13"/>
      <c r="C41" s="13" t="s">
        <v>108</v>
      </c>
      <c r="D41" s="13" t="s">
        <v>87</v>
      </c>
      <c r="E41" s="13" t="s">
        <v>72</v>
      </c>
      <c r="F41" s="14">
        <v>0.30280000000000001</v>
      </c>
      <c r="G41" s="13" t="s">
        <v>59</v>
      </c>
      <c r="H41" s="15" t="s">
        <v>78</v>
      </c>
    </row>
    <row r="42" spans="1:8" x14ac:dyDescent="0.25">
      <c r="A42" s="12">
        <v>4</v>
      </c>
      <c r="B42" s="13" t="str">
        <f>IFERROR(INDEX('Tier Reference'!$B:$B,MATCH(A42,'Tier Reference'!$A:$A,0)),"")</f>
        <v>Postgres</v>
      </c>
      <c r="C42" s="13" t="str">
        <f>IFERROR(INDEX('Tier Reference'!$B:$B,MATCH(A42,'Tier Reference'!$A:$A,0)),"")</f>
        <v>Postgres</v>
      </c>
      <c r="D42" s="13" t="s">
        <v>83</v>
      </c>
      <c r="E42" s="13" t="s">
        <v>67</v>
      </c>
      <c r="F42" s="13">
        <v>9.7999999999999997E-3</v>
      </c>
      <c r="G42" s="13" t="s">
        <v>59</v>
      </c>
      <c r="H42" s="16"/>
    </row>
    <row r="43" spans="1:8" x14ac:dyDescent="0.25">
      <c r="A43" s="12">
        <v>4</v>
      </c>
      <c r="B43" s="13"/>
      <c r="C43" s="13" t="str">
        <f>IFERROR(INDEX('Tier Reference'!$B:$B,MATCH(A43,'Tier Reference'!$A:$A,0)),"")</f>
        <v>Postgres</v>
      </c>
      <c r="D43" s="13" t="s">
        <v>88</v>
      </c>
      <c r="E43" s="13" t="s">
        <v>68</v>
      </c>
      <c r="F43" s="13">
        <v>0.92</v>
      </c>
      <c r="G43" s="13" t="s">
        <v>59</v>
      </c>
      <c r="H43" s="16"/>
    </row>
    <row r="44" spans="1:8" x14ac:dyDescent="0.25">
      <c r="A44" s="12">
        <v>4</v>
      </c>
      <c r="B44" s="13"/>
      <c r="C44" s="13" t="str">
        <f>IFERROR(INDEX('Tier Reference'!$B:$B,MATCH(A44,'Tier Reference'!$A:$A,0)),"")</f>
        <v>Postgres</v>
      </c>
      <c r="D44" s="13" t="s">
        <v>84</v>
      </c>
      <c r="E44" s="13" t="s">
        <v>69</v>
      </c>
      <c r="F44" s="13">
        <v>240.27</v>
      </c>
      <c r="G44" s="13" t="s">
        <v>59</v>
      </c>
      <c r="H44" s="16"/>
    </row>
    <row r="45" spans="1:8" x14ac:dyDescent="0.25">
      <c r="A45" s="12">
        <v>4</v>
      </c>
      <c r="B45" s="13"/>
      <c r="C45" s="13" t="str">
        <f>IFERROR(INDEX('Tier Reference'!$B:$B,MATCH(A45,'Tier Reference'!$A:$A,0)),"")</f>
        <v>Postgres</v>
      </c>
      <c r="D45" s="13" t="s">
        <v>85</v>
      </c>
      <c r="E45" s="13" t="s">
        <v>70</v>
      </c>
      <c r="F45" s="13">
        <v>23.22</v>
      </c>
      <c r="G45" s="13" t="s">
        <v>59</v>
      </c>
      <c r="H45" s="16"/>
    </row>
    <row r="46" spans="1:8" x14ac:dyDescent="0.25">
      <c r="A46" s="12">
        <v>4</v>
      </c>
      <c r="B46" s="13"/>
      <c r="C46" s="13" t="str">
        <f>IFERROR(INDEX('Tier Reference'!$B:$B,MATCH(A46,'Tier Reference'!$A:$A,0)),"")</f>
        <v>Postgres</v>
      </c>
      <c r="D46" s="13" t="s">
        <v>86</v>
      </c>
      <c r="E46" s="13" t="s">
        <v>71</v>
      </c>
      <c r="F46" s="13">
        <v>0.02</v>
      </c>
      <c r="G46" s="13" t="s">
        <v>59</v>
      </c>
      <c r="H46" s="16"/>
    </row>
    <row r="47" spans="1:8" x14ac:dyDescent="0.25">
      <c r="A47" s="12">
        <v>4</v>
      </c>
      <c r="B47" s="13"/>
      <c r="C47" s="13" t="str">
        <f>IFERROR(INDEX('Tier Reference'!$B:$B,MATCH(A47,'Tier Reference'!$A:$A,0)),"")</f>
        <v>Postgres</v>
      </c>
      <c r="D47" s="13" t="s">
        <v>87</v>
      </c>
      <c r="E47" s="13" t="s">
        <v>72</v>
      </c>
      <c r="F47" s="13">
        <v>3.43</v>
      </c>
      <c r="G47" s="13" t="s">
        <v>59</v>
      </c>
      <c r="H47" s="16"/>
    </row>
    <row r="48" spans="1:8" x14ac:dyDescent="0.25">
      <c r="A48" s="12">
        <v>5</v>
      </c>
      <c r="B48" s="13" t="str">
        <f>IFERROR(INDEX('Tier Reference'!$B:$B,MATCH(A48,'Tier Reference'!$A:$A,0)),"")</f>
        <v>Self-managed Hadoop MapReduce</v>
      </c>
      <c r="C48" s="13" t="s">
        <v>126</v>
      </c>
      <c r="D48" s="13" t="s">
        <v>84</v>
      </c>
      <c r="E48" s="13" t="s">
        <v>69</v>
      </c>
      <c r="F48" s="13">
        <v>548</v>
      </c>
      <c r="G48" s="13" t="s">
        <v>128</v>
      </c>
      <c r="H48" s="16" t="s">
        <v>127</v>
      </c>
    </row>
    <row r="49" spans="1:8" x14ac:dyDescent="0.25">
      <c r="A49" s="12">
        <v>6</v>
      </c>
      <c r="B49" s="13" t="str">
        <f>IFERROR(INDEX('Tier Reference'!$B:$B,MATCH(A49,'Tier Reference'!$A:$A,0)),"")</f>
        <v>Self-managed Spark on YARN</v>
      </c>
      <c r="C49" s="13" t="str">
        <f>IFERROR(INDEX('Tier Reference'!$B:$B,MATCH(A49,'Tier Reference'!$A:$A,0)),"")</f>
        <v>Self-managed Spark on YARN</v>
      </c>
      <c r="D49" s="13" t="s">
        <v>83</v>
      </c>
      <c r="E49" s="13" t="s">
        <v>67</v>
      </c>
      <c r="F49" s="13">
        <v>190.166</v>
      </c>
      <c r="G49" s="13" t="s">
        <v>128</v>
      </c>
      <c r="H49" s="16" t="s">
        <v>129</v>
      </c>
    </row>
    <row r="50" spans="1:8" x14ac:dyDescent="0.25">
      <c r="A50" s="12">
        <v>6</v>
      </c>
      <c r="B50" s="13"/>
      <c r="C50" s="13" t="str">
        <f>IFERROR(INDEX('Tier Reference'!$B:$B,MATCH(A50,'Tier Reference'!$A:$A,0)),"")</f>
        <v>Self-managed Spark on YARN</v>
      </c>
      <c r="D50" s="13" t="s">
        <v>88</v>
      </c>
      <c r="E50" s="13" t="s">
        <v>68</v>
      </c>
      <c r="F50" s="13">
        <v>112.976</v>
      </c>
      <c r="G50" s="13" t="s">
        <v>128</v>
      </c>
      <c r="H50" s="16"/>
    </row>
    <row r="51" spans="1:8" x14ac:dyDescent="0.25">
      <c r="A51" s="12">
        <v>6</v>
      </c>
      <c r="B51" s="13"/>
      <c r="C51" s="13" t="str">
        <f>IFERROR(INDEX('Tier Reference'!$B:$B,MATCH(A51,'Tier Reference'!$A:$A,0)),"")</f>
        <v>Self-managed Spark on YARN</v>
      </c>
      <c r="D51" s="13" t="s">
        <v>84</v>
      </c>
      <c r="E51" s="13" t="s">
        <v>69</v>
      </c>
      <c r="F51" s="13">
        <v>261.24</v>
      </c>
      <c r="G51" s="13" t="s">
        <v>128</v>
      </c>
      <c r="H51" s="16"/>
    </row>
    <row r="52" spans="1:8" x14ac:dyDescent="0.25">
      <c r="A52" s="12">
        <v>6</v>
      </c>
      <c r="B52" s="13"/>
      <c r="C52" s="13" t="str">
        <f>IFERROR(INDEX('Tier Reference'!$B:$B,MATCH(A52,'Tier Reference'!$A:$A,0)),"")</f>
        <v>Self-managed Spark on YARN</v>
      </c>
      <c r="D52" s="13" t="s">
        <v>85</v>
      </c>
      <c r="E52" s="13" t="s">
        <v>70</v>
      </c>
      <c r="F52" s="13">
        <v>204.45</v>
      </c>
      <c r="G52" s="13" t="s">
        <v>128</v>
      </c>
      <c r="H52" s="16"/>
    </row>
    <row r="53" spans="1:8" x14ac:dyDescent="0.25">
      <c r="A53" s="12">
        <v>7</v>
      </c>
      <c r="B53" s="13" t="str">
        <f>IFERROR(INDEX('Tier Reference'!$B:$B,MATCH(A53,'Tier Reference'!$A:$A,0)),"")</f>
        <v>Single EMR node</v>
      </c>
      <c r="C53" s="13" t="s">
        <v>130</v>
      </c>
      <c r="D53" s="13" t="s">
        <v>83</v>
      </c>
      <c r="E53" s="13" t="s">
        <v>67</v>
      </c>
      <c r="F53" s="13">
        <v>163.53200000000001</v>
      </c>
      <c r="G53" s="13" t="s">
        <v>131</v>
      </c>
      <c r="H53" s="16" t="s">
        <v>132</v>
      </c>
    </row>
    <row r="54" spans="1:8" x14ac:dyDescent="0.25">
      <c r="A54" s="12">
        <v>7</v>
      </c>
      <c r="B54" s="13"/>
      <c r="C54" s="13" t="s">
        <v>130</v>
      </c>
      <c r="D54" s="13" t="s">
        <v>88</v>
      </c>
      <c r="E54" s="13" t="s">
        <v>68</v>
      </c>
      <c r="F54" s="13">
        <v>88.634</v>
      </c>
      <c r="G54" s="13" t="s">
        <v>131</v>
      </c>
      <c r="H54" s="16"/>
    </row>
    <row r="55" spans="1:8" x14ac:dyDescent="0.25">
      <c r="A55" s="12">
        <v>7</v>
      </c>
      <c r="B55" s="13"/>
      <c r="C55" s="13" t="s">
        <v>130</v>
      </c>
      <c r="D55" s="13" t="s">
        <v>84</v>
      </c>
      <c r="E55" s="13" t="s">
        <v>69</v>
      </c>
      <c r="F55" s="13">
        <v>188.66900000000001</v>
      </c>
      <c r="G55" s="13" t="s">
        <v>131</v>
      </c>
      <c r="H55" s="16" t="s">
        <v>133</v>
      </c>
    </row>
    <row r="56" spans="1:8" x14ac:dyDescent="0.25">
      <c r="A56" s="12">
        <v>7</v>
      </c>
      <c r="B56" s="13"/>
      <c r="C56" s="13" t="s">
        <v>130</v>
      </c>
      <c r="D56" s="13" t="s">
        <v>85</v>
      </c>
      <c r="E56" s="13" t="s">
        <v>70</v>
      </c>
      <c r="F56" s="13">
        <v>144.34800000000001</v>
      </c>
      <c r="G56" s="13" t="s">
        <v>131</v>
      </c>
      <c r="H56" s="16" t="s">
        <v>134</v>
      </c>
    </row>
    <row r="57" spans="1:8" x14ac:dyDescent="0.25">
      <c r="A57" s="12">
        <v>8</v>
      </c>
      <c r="B57" s="13" t="str">
        <f>IFERROR(INDEX('Tier Reference'!$B:$B,MATCH(A57,'Tier Reference'!$A:$A,0)),"")</f>
        <v>Larger EMR node</v>
      </c>
      <c r="C57" s="13" t="s">
        <v>130</v>
      </c>
      <c r="D57" s="13" t="s">
        <v>83</v>
      </c>
      <c r="E57" s="13" t="s">
        <v>67</v>
      </c>
      <c r="F57" s="13">
        <v>262.14699999999999</v>
      </c>
      <c r="G57" s="13" t="s">
        <v>140</v>
      </c>
      <c r="H57" s="16" t="s">
        <v>146</v>
      </c>
    </row>
    <row r="58" spans="1:8" x14ac:dyDescent="0.25">
      <c r="A58" s="12">
        <v>8</v>
      </c>
      <c r="B58" s="13"/>
      <c r="C58" s="13" t="s">
        <v>130</v>
      </c>
      <c r="D58" s="13" t="s">
        <v>88</v>
      </c>
      <c r="E58" s="13" t="s">
        <v>68</v>
      </c>
      <c r="F58" s="13">
        <v>132.18600000000001</v>
      </c>
      <c r="G58" s="13" t="s">
        <v>140</v>
      </c>
      <c r="H58" s="16" t="s">
        <v>141</v>
      </c>
    </row>
    <row r="59" spans="1:8" x14ac:dyDescent="0.25">
      <c r="A59" s="12">
        <v>8</v>
      </c>
      <c r="B59" s="13"/>
      <c r="C59" s="13" t="s">
        <v>130</v>
      </c>
      <c r="D59" s="13" t="s">
        <v>142</v>
      </c>
      <c r="E59" s="13" t="s">
        <v>69</v>
      </c>
      <c r="F59" s="13">
        <v>232.67599999999999</v>
      </c>
      <c r="G59" s="13" t="s">
        <v>140</v>
      </c>
      <c r="H59" s="16" t="s">
        <v>143</v>
      </c>
    </row>
    <row r="60" spans="1:8" x14ac:dyDescent="0.25">
      <c r="A60" s="12">
        <v>8</v>
      </c>
      <c r="B60" s="13"/>
      <c r="C60" s="13" t="s">
        <v>130</v>
      </c>
      <c r="D60" s="13" t="s">
        <v>85</v>
      </c>
      <c r="E60" s="13" t="s">
        <v>144</v>
      </c>
      <c r="F60" s="13">
        <v>227.71600000000001</v>
      </c>
      <c r="G60" s="13" t="s">
        <v>140</v>
      </c>
      <c r="H60" s="16" t="s">
        <v>145</v>
      </c>
    </row>
    <row r="61" spans="1:8" x14ac:dyDescent="0.25">
      <c r="A61" s="12">
        <v>9</v>
      </c>
      <c r="B61" s="13" t="str">
        <f>IFERROR(INDEX('Tier Reference'!$B:$B,MATCH(A61,'Tier Reference'!$A:$A,0)),"")</f>
        <v>Multi-node EMR cluster</v>
      </c>
      <c r="C61" s="13" t="s">
        <v>130</v>
      </c>
      <c r="D61" s="13" t="s">
        <v>83</v>
      </c>
      <c r="E61" s="13" t="s">
        <v>67</v>
      </c>
      <c r="F61" s="13">
        <v>76.484999999999999</v>
      </c>
      <c r="G61" s="13" t="s">
        <v>135</v>
      </c>
      <c r="H61" s="16" t="s">
        <v>136</v>
      </c>
    </row>
    <row r="62" spans="1:8" x14ac:dyDescent="0.25">
      <c r="A62" s="12">
        <v>9</v>
      </c>
      <c r="B62" s="13"/>
      <c r="C62" s="13" t="s">
        <v>130</v>
      </c>
      <c r="D62" s="13" t="s">
        <v>88</v>
      </c>
      <c r="E62" s="13" t="s">
        <v>68</v>
      </c>
      <c r="F62" s="13">
        <v>60.726999999999997</v>
      </c>
      <c r="G62" s="13" t="s">
        <v>135</v>
      </c>
      <c r="H62" s="16" t="s">
        <v>139</v>
      </c>
    </row>
    <row r="63" spans="1:8" x14ac:dyDescent="0.25">
      <c r="A63" s="12">
        <v>9</v>
      </c>
      <c r="B63" s="13"/>
      <c r="C63" s="13" t="s">
        <v>130</v>
      </c>
      <c r="D63" s="13" t="s">
        <v>84</v>
      </c>
      <c r="E63" s="13" t="s">
        <v>69</v>
      </c>
      <c r="F63" s="13">
        <v>61.542999999999999</v>
      </c>
      <c r="G63" s="13" t="s">
        <v>135</v>
      </c>
      <c r="H63" s="16" t="s">
        <v>137</v>
      </c>
    </row>
    <row r="64" spans="1:8" x14ac:dyDescent="0.25">
      <c r="A64" s="12">
        <v>9</v>
      </c>
      <c r="B64" s="13"/>
      <c r="C64" s="13" t="s">
        <v>130</v>
      </c>
      <c r="D64" s="13" t="s">
        <v>85</v>
      </c>
      <c r="E64" s="13" t="s">
        <v>70</v>
      </c>
      <c r="F64" s="13">
        <v>63.941000000000003</v>
      </c>
      <c r="G64" s="13" t="s">
        <v>135</v>
      </c>
      <c r="H64" s="16" t="s">
        <v>138</v>
      </c>
    </row>
    <row r="65" spans="1:8" x14ac:dyDescent="0.25">
      <c r="A65" s="12">
        <v>10</v>
      </c>
      <c r="B65" s="13" t="s">
        <v>33</v>
      </c>
      <c r="C65" s="13" t="s">
        <v>130</v>
      </c>
      <c r="D65" s="13" t="s">
        <v>184</v>
      </c>
      <c r="E65" s="13" t="s">
        <v>41</v>
      </c>
      <c r="F65" s="13">
        <v>107.26</v>
      </c>
      <c r="G65" s="13" t="s">
        <v>135</v>
      </c>
      <c r="H65" s="16" t="s">
        <v>185</v>
      </c>
    </row>
    <row r="66" spans="1:8" x14ac:dyDescent="0.25">
      <c r="A66" s="12">
        <v>10</v>
      </c>
      <c r="B66" s="13"/>
      <c r="C66" s="13" t="s">
        <v>130</v>
      </c>
      <c r="D66" s="13" t="s">
        <v>83</v>
      </c>
      <c r="E66" s="13" t="s">
        <v>186</v>
      </c>
      <c r="F66" s="13">
        <v>46</v>
      </c>
      <c r="G66" s="13" t="s">
        <v>135</v>
      </c>
      <c r="H66" s="16" t="s">
        <v>187</v>
      </c>
    </row>
    <row r="67" spans="1:8" x14ac:dyDescent="0.25">
      <c r="A67" s="12">
        <v>10</v>
      </c>
      <c r="B67" s="13"/>
      <c r="C67" s="13" t="s">
        <v>130</v>
      </c>
      <c r="D67" s="13" t="s">
        <v>147</v>
      </c>
      <c r="E67" s="13" t="s">
        <v>70</v>
      </c>
      <c r="F67" s="13">
        <v>103.9213</v>
      </c>
      <c r="G67" s="13" t="s">
        <v>135</v>
      </c>
      <c r="H67" s="16" t="s">
        <v>151</v>
      </c>
    </row>
    <row r="68" spans="1:8" x14ac:dyDescent="0.25">
      <c r="A68" s="12">
        <v>10</v>
      </c>
      <c r="B68" s="13"/>
      <c r="C68" s="13" t="s">
        <v>130</v>
      </c>
      <c r="D68" s="13" t="s">
        <v>148</v>
      </c>
      <c r="E68" s="13" t="s">
        <v>149</v>
      </c>
      <c r="F68" s="13">
        <v>37.142899999999997</v>
      </c>
      <c r="G68" s="13" t="s">
        <v>135</v>
      </c>
      <c r="H68" s="16" t="s">
        <v>150</v>
      </c>
    </row>
    <row r="69" spans="1:8" x14ac:dyDescent="0.25">
      <c r="A69" s="12">
        <v>11</v>
      </c>
      <c r="B69" s="13" t="str">
        <f>IFERROR(INDEX('Tier Reference'!$B:$B,MATCH(A69,'Tier Reference'!$A:$A,0)),"")</f>
        <v>Lakehouse: S3 + Glue + Iceberg</v>
      </c>
      <c r="C69" s="13" t="s">
        <v>152</v>
      </c>
      <c r="D69" s="13" t="s">
        <v>83</v>
      </c>
      <c r="E69" s="13" t="s">
        <v>153</v>
      </c>
      <c r="F69" s="13">
        <v>42.65</v>
      </c>
      <c r="G69" s="13" t="s">
        <v>135</v>
      </c>
      <c r="H69" s="16" t="s">
        <v>154</v>
      </c>
    </row>
    <row r="70" spans="1:8" x14ac:dyDescent="0.25">
      <c r="A70" s="12">
        <v>11</v>
      </c>
      <c r="B70" s="13"/>
      <c r="C70" s="13" t="s">
        <v>152</v>
      </c>
      <c r="D70" s="13" t="s">
        <v>88</v>
      </c>
      <c r="E70" s="13" t="s">
        <v>155</v>
      </c>
      <c r="F70" s="13">
        <v>1.6</v>
      </c>
      <c r="G70" s="13" t="s">
        <v>135</v>
      </c>
      <c r="H70" s="16" t="s">
        <v>156</v>
      </c>
    </row>
    <row r="71" spans="1:8" x14ac:dyDescent="0.25">
      <c r="A71" s="12">
        <v>11</v>
      </c>
      <c r="B71" s="13"/>
      <c r="C71" s="13" t="s">
        <v>152</v>
      </c>
      <c r="D71" s="13" t="s">
        <v>84</v>
      </c>
      <c r="E71" s="13" t="s">
        <v>69</v>
      </c>
      <c r="F71" s="13">
        <v>22.58</v>
      </c>
      <c r="G71" s="13" t="s">
        <v>135</v>
      </c>
      <c r="H71" s="16" t="s">
        <v>157</v>
      </c>
    </row>
    <row r="72" spans="1:8" x14ac:dyDescent="0.25">
      <c r="A72" s="12">
        <v>11</v>
      </c>
      <c r="B72" s="13"/>
      <c r="C72" s="13" t="s">
        <v>152</v>
      </c>
      <c r="D72" s="13" t="s">
        <v>85</v>
      </c>
      <c r="E72" s="13" t="s">
        <v>158</v>
      </c>
      <c r="F72" s="13">
        <v>10.14</v>
      </c>
      <c r="G72" s="13" t="s">
        <v>135</v>
      </c>
      <c r="H72" s="16" t="s">
        <v>159</v>
      </c>
    </row>
    <row r="73" spans="1:8" x14ac:dyDescent="0.25">
      <c r="A73" s="12">
        <v>11</v>
      </c>
      <c r="B73" s="13"/>
      <c r="C73" s="13" t="s">
        <v>152</v>
      </c>
      <c r="D73" s="13" t="s">
        <v>86</v>
      </c>
      <c r="E73" s="13" t="s">
        <v>71</v>
      </c>
      <c r="F73" s="13">
        <v>1.51</v>
      </c>
      <c r="G73" s="13" t="s">
        <v>135</v>
      </c>
      <c r="H73" s="16" t="s">
        <v>160</v>
      </c>
    </row>
    <row r="74" spans="1:8" x14ac:dyDescent="0.25">
      <c r="A74" s="12">
        <v>11</v>
      </c>
      <c r="B74" s="13"/>
      <c r="C74" s="13" t="s">
        <v>152</v>
      </c>
      <c r="D74" s="13" t="s">
        <v>87</v>
      </c>
      <c r="E74" s="13" t="s">
        <v>72</v>
      </c>
      <c r="F74" s="13">
        <v>76.239999999999995</v>
      </c>
      <c r="G74" s="13" t="s">
        <v>135</v>
      </c>
      <c r="H74" s="16" t="s">
        <v>161</v>
      </c>
    </row>
    <row r="75" spans="1:8" x14ac:dyDescent="0.25">
      <c r="A75" s="12">
        <v>12</v>
      </c>
      <c r="B75" s="13" t="str">
        <f>IFERROR(INDEX('Tier Reference'!$B:$B,MATCH(A75,'Tier Reference'!$A:$A,0)),"")</f>
        <v>Athena: CSV vs Parquet vs Iceberg</v>
      </c>
      <c r="C75" s="13" t="s">
        <v>162</v>
      </c>
      <c r="D75" s="13" t="s">
        <v>83</v>
      </c>
      <c r="E75" s="13" t="s">
        <v>153</v>
      </c>
      <c r="F75" s="13">
        <v>2.4350000000000001</v>
      </c>
      <c r="G75" s="13" t="s">
        <v>163</v>
      </c>
      <c r="H75" s="16" t="s">
        <v>164</v>
      </c>
    </row>
    <row r="76" spans="1:8" x14ac:dyDescent="0.25">
      <c r="A76" s="12">
        <v>12</v>
      </c>
      <c r="B76" s="13"/>
      <c r="C76" s="13" t="s">
        <v>162</v>
      </c>
      <c r="D76" s="13" t="s">
        <v>88</v>
      </c>
      <c r="E76" s="13" t="s">
        <v>155</v>
      </c>
      <c r="F76" s="13">
        <v>2.3410000000000002</v>
      </c>
      <c r="G76" s="13" t="s">
        <v>163</v>
      </c>
      <c r="H76" s="16" t="s">
        <v>165</v>
      </c>
    </row>
    <row r="77" spans="1:8" x14ac:dyDescent="0.25">
      <c r="A77" s="12">
        <v>12</v>
      </c>
      <c r="B77" s="13"/>
      <c r="C77" s="13" t="s">
        <v>162</v>
      </c>
      <c r="D77" s="13" t="s">
        <v>84</v>
      </c>
      <c r="E77" s="13" t="s">
        <v>69</v>
      </c>
      <c r="F77" s="13">
        <v>3.1480000000000001</v>
      </c>
      <c r="G77" s="13" t="s">
        <v>163</v>
      </c>
      <c r="H77" s="16" t="s">
        <v>165</v>
      </c>
    </row>
    <row r="78" spans="1:8" x14ac:dyDescent="0.25">
      <c r="A78" s="12">
        <v>12</v>
      </c>
      <c r="B78" s="13"/>
      <c r="C78" s="13" t="s">
        <v>162</v>
      </c>
      <c r="D78" s="13" t="s">
        <v>85</v>
      </c>
      <c r="E78" s="13" t="s">
        <v>158</v>
      </c>
      <c r="F78" s="13">
        <v>2.323</v>
      </c>
      <c r="G78" s="13" t="s">
        <v>163</v>
      </c>
      <c r="H78" s="16" t="s">
        <v>165</v>
      </c>
    </row>
    <row r="79" spans="1:8" x14ac:dyDescent="0.25">
      <c r="A79" s="12">
        <v>12</v>
      </c>
      <c r="B79" s="13"/>
      <c r="C79" s="13" t="s">
        <v>166</v>
      </c>
      <c r="D79" s="13" t="s">
        <v>83</v>
      </c>
      <c r="E79" s="13" t="s">
        <v>153</v>
      </c>
      <c r="F79" s="13">
        <v>4.2789999999999999</v>
      </c>
      <c r="G79" s="13" t="s">
        <v>163</v>
      </c>
      <c r="H79" s="16" t="s">
        <v>167</v>
      </c>
    </row>
    <row r="80" spans="1:8" x14ac:dyDescent="0.25">
      <c r="A80" s="12">
        <v>12</v>
      </c>
      <c r="B80" s="13"/>
      <c r="C80" s="13" t="s">
        <v>166</v>
      </c>
      <c r="D80" s="13" t="s">
        <v>88</v>
      </c>
      <c r="E80" s="13" t="s">
        <v>155</v>
      </c>
      <c r="F80" s="13">
        <v>2.9180000000000001</v>
      </c>
      <c r="G80" s="13" t="s">
        <v>163</v>
      </c>
      <c r="H80" s="16" t="s">
        <v>168</v>
      </c>
    </row>
    <row r="81" spans="1:8" x14ac:dyDescent="0.25">
      <c r="A81" s="12">
        <v>12</v>
      </c>
      <c r="B81" s="13"/>
      <c r="C81" s="13" t="s">
        <v>166</v>
      </c>
      <c r="D81" s="13" t="s">
        <v>84</v>
      </c>
      <c r="E81" s="13" t="s">
        <v>69</v>
      </c>
      <c r="F81" s="13">
        <v>2.6739999999999999</v>
      </c>
      <c r="G81" s="13" t="s">
        <v>163</v>
      </c>
      <c r="H81" s="16" t="s">
        <v>169</v>
      </c>
    </row>
    <row r="82" spans="1:8" x14ac:dyDescent="0.25">
      <c r="A82" s="12">
        <v>12</v>
      </c>
      <c r="B82" s="13"/>
      <c r="C82" s="13" t="s">
        <v>166</v>
      </c>
      <c r="D82" s="13" t="s">
        <v>85</v>
      </c>
      <c r="E82" s="13" t="s">
        <v>158</v>
      </c>
      <c r="F82" s="13">
        <v>2.6459999999999999</v>
      </c>
      <c r="G82" s="13" t="s">
        <v>163</v>
      </c>
      <c r="H82" s="16" t="s">
        <v>170</v>
      </c>
    </row>
    <row r="83" spans="1:8" x14ac:dyDescent="0.25">
      <c r="A83" s="12">
        <v>12</v>
      </c>
      <c r="B83" s="13"/>
      <c r="C83" s="13" t="s">
        <v>166</v>
      </c>
      <c r="D83" s="13" t="s">
        <v>86</v>
      </c>
      <c r="E83" s="13" t="s">
        <v>71</v>
      </c>
      <c r="F83" s="13">
        <v>1.4059999999999999</v>
      </c>
      <c r="G83" s="13" t="s">
        <v>163</v>
      </c>
      <c r="H83" s="16" t="s">
        <v>171</v>
      </c>
    </row>
    <row r="84" spans="1:8" x14ac:dyDescent="0.25">
      <c r="A84" s="12">
        <v>12</v>
      </c>
      <c r="B84" s="13"/>
      <c r="C84" s="13" t="s">
        <v>166</v>
      </c>
      <c r="D84" s="13" t="s">
        <v>87</v>
      </c>
      <c r="E84" s="13" t="s">
        <v>72</v>
      </c>
      <c r="F84" s="13">
        <v>3.347</v>
      </c>
      <c r="G84" s="13" t="s">
        <v>163</v>
      </c>
      <c r="H84" s="16" t="s">
        <v>172</v>
      </c>
    </row>
    <row r="85" spans="1:8" x14ac:dyDescent="0.25">
      <c r="A85" s="12">
        <v>13</v>
      </c>
      <c r="B85" s="13" t="s">
        <v>195</v>
      </c>
      <c r="C85" s="13" t="s">
        <v>174</v>
      </c>
      <c r="D85" s="13" t="s">
        <v>84</v>
      </c>
      <c r="E85" s="13" t="s">
        <v>69</v>
      </c>
      <c r="F85" s="13">
        <v>77.007999999999996</v>
      </c>
      <c r="G85" s="13" t="s">
        <v>32</v>
      </c>
      <c r="H85" s="16" t="s">
        <v>175</v>
      </c>
    </row>
    <row r="86" spans="1:8" x14ac:dyDescent="0.25">
      <c r="A86" s="17">
        <v>13</v>
      </c>
      <c r="B86" s="18"/>
      <c r="C86" s="18" t="s">
        <v>176</v>
      </c>
      <c r="D86" s="18" t="s">
        <v>84</v>
      </c>
      <c r="E86" s="18" t="s">
        <v>69</v>
      </c>
      <c r="F86" s="18">
        <v>63.323999999999998</v>
      </c>
      <c r="G86" s="18" t="s">
        <v>32</v>
      </c>
      <c r="H86" s="19" t="s">
        <v>177</v>
      </c>
    </row>
    <row r="87" spans="1:8" x14ac:dyDescent="0.25">
      <c r="B87" s="4"/>
    </row>
    <row r="88" spans="1:8" x14ac:dyDescent="0.25">
      <c r="B88" s="4"/>
    </row>
    <row r="89" spans="1:8" x14ac:dyDescent="0.25">
      <c r="B89" s="4"/>
    </row>
    <row r="90" spans="1:8" x14ac:dyDescent="0.25">
      <c r="B90" s="4"/>
    </row>
    <row r="91" spans="1:8" x14ac:dyDescent="0.25">
      <c r="B91" s="4"/>
    </row>
    <row r="92" spans="1:8" x14ac:dyDescent="0.25">
      <c r="B92" s="4"/>
    </row>
    <row r="93" spans="1:8" x14ac:dyDescent="0.25">
      <c r="B93" s="4"/>
    </row>
    <row r="94" spans="1:8" x14ac:dyDescent="0.25">
      <c r="B94" s="4"/>
    </row>
    <row r="95" spans="1:8" x14ac:dyDescent="0.25">
      <c r="B95" s="4"/>
    </row>
    <row r="96" spans="1:8" x14ac:dyDescent="0.25">
      <c r="B96" s="4"/>
    </row>
    <row r="97" spans="2:2" x14ac:dyDescent="0.25">
      <c r="B97" s="4"/>
    </row>
    <row r="98" spans="2:2" x14ac:dyDescent="0.25">
      <c r="B98" s="4"/>
    </row>
    <row r="99" spans="2:2" x14ac:dyDescent="0.25">
      <c r="B99" s="4"/>
    </row>
    <row r="100" spans="2:2" x14ac:dyDescent="0.25">
      <c r="B100" s="4"/>
    </row>
    <row r="101" spans="2:2" x14ac:dyDescent="0.25">
      <c r="B101" s="4"/>
    </row>
    <row r="102" spans="2:2" x14ac:dyDescent="0.25">
      <c r="B102" s="4"/>
    </row>
    <row r="103" spans="2:2" x14ac:dyDescent="0.25">
      <c r="B103" s="4"/>
    </row>
    <row r="104" spans="2:2" x14ac:dyDescent="0.25">
      <c r="B104" s="4"/>
    </row>
    <row r="105" spans="2:2" x14ac:dyDescent="0.25">
      <c r="B105" s="4"/>
    </row>
    <row r="106" spans="2:2" x14ac:dyDescent="0.25">
      <c r="B106" s="4"/>
    </row>
    <row r="107" spans="2:2" x14ac:dyDescent="0.25">
      <c r="B107" s="4"/>
    </row>
    <row r="108" spans="2:2" x14ac:dyDescent="0.25">
      <c r="B108" s="4"/>
    </row>
    <row r="109" spans="2:2" x14ac:dyDescent="0.25">
      <c r="B109" s="4"/>
    </row>
    <row r="110" spans="2:2" x14ac:dyDescent="0.25">
      <c r="B110" s="4"/>
    </row>
    <row r="111" spans="2:2" x14ac:dyDescent="0.25">
      <c r="B111" s="4"/>
    </row>
    <row r="112" spans="2:2" x14ac:dyDescent="0.25">
      <c r="B112" s="4"/>
    </row>
    <row r="113" spans="2:2" x14ac:dyDescent="0.25">
      <c r="B113" s="4"/>
    </row>
    <row r="114" spans="2:2" x14ac:dyDescent="0.25">
      <c r="B114" s="4"/>
    </row>
    <row r="115" spans="2:2" x14ac:dyDescent="0.25">
      <c r="B115" s="4"/>
    </row>
    <row r="116" spans="2:2" x14ac:dyDescent="0.25">
      <c r="B116" s="4"/>
    </row>
    <row r="117" spans="2:2" x14ac:dyDescent="0.25">
      <c r="B117" s="4"/>
    </row>
    <row r="118" spans="2:2" x14ac:dyDescent="0.25">
      <c r="B118" s="4"/>
    </row>
    <row r="119" spans="2:2" x14ac:dyDescent="0.25">
      <c r="B119" s="4"/>
    </row>
    <row r="120" spans="2:2" x14ac:dyDescent="0.25">
      <c r="B120" s="4"/>
    </row>
    <row r="121" spans="2:2" x14ac:dyDescent="0.25">
      <c r="B121" s="4"/>
    </row>
    <row r="122" spans="2:2" x14ac:dyDescent="0.25">
      <c r="B122" s="4"/>
    </row>
    <row r="123" spans="2:2" x14ac:dyDescent="0.25">
      <c r="B123" s="4"/>
    </row>
    <row r="124" spans="2:2" x14ac:dyDescent="0.25">
      <c r="B124" s="4"/>
    </row>
    <row r="125" spans="2:2" x14ac:dyDescent="0.25">
      <c r="B125" s="4"/>
    </row>
    <row r="126" spans="2:2" x14ac:dyDescent="0.25">
      <c r="B126" s="4"/>
    </row>
    <row r="127" spans="2:2" x14ac:dyDescent="0.25">
      <c r="B127" s="4"/>
    </row>
    <row r="128" spans="2:2" x14ac:dyDescent="0.25">
      <c r="B128" s="4"/>
    </row>
    <row r="129" spans="2:2" x14ac:dyDescent="0.25">
      <c r="B129" s="4"/>
    </row>
    <row r="130" spans="2:2" x14ac:dyDescent="0.25">
      <c r="B130" s="4"/>
    </row>
    <row r="131" spans="2:2" x14ac:dyDescent="0.25">
      <c r="B131" s="4"/>
    </row>
    <row r="132" spans="2:2" x14ac:dyDescent="0.25">
      <c r="B132" s="4"/>
    </row>
    <row r="133" spans="2:2" x14ac:dyDescent="0.25">
      <c r="B133" s="4"/>
    </row>
    <row r="134" spans="2:2" x14ac:dyDescent="0.25">
      <c r="B134" s="4"/>
    </row>
    <row r="135" spans="2:2" x14ac:dyDescent="0.25">
      <c r="B135" s="4"/>
    </row>
    <row r="136" spans="2:2" x14ac:dyDescent="0.25">
      <c r="B136" s="4"/>
    </row>
    <row r="137" spans="2:2" x14ac:dyDescent="0.25">
      <c r="B137" s="4"/>
    </row>
    <row r="138" spans="2:2" x14ac:dyDescent="0.25">
      <c r="B138" s="4"/>
    </row>
    <row r="139" spans="2:2" x14ac:dyDescent="0.25">
      <c r="B139" s="4"/>
    </row>
    <row r="140" spans="2:2" x14ac:dyDescent="0.25">
      <c r="B140" s="4"/>
    </row>
    <row r="141" spans="2:2" x14ac:dyDescent="0.25">
      <c r="B141" s="4"/>
    </row>
    <row r="142" spans="2:2" x14ac:dyDescent="0.25">
      <c r="B142" s="4"/>
    </row>
    <row r="143" spans="2:2" x14ac:dyDescent="0.25">
      <c r="B143" s="4"/>
    </row>
    <row r="144" spans="2:2" x14ac:dyDescent="0.25">
      <c r="B144" s="4"/>
    </row>
    <row r="145" spans="2:2" x14ac:dyDescent="0.25">
      <c r="B145" s="4"/>
    </row>
    <row r="146" spans="2:2" x14ac:dyDescent="0.25">
      <c r="B146" s="4"/>
    </row>
    <row r="147" spans="2:2" x14ac:dyDescent="0.25">
      <c r="B147" s="4"/>
    </row>
    <row r="148" spans="2:2" x14ac:dyDescent="0.25">
      <c r="B148" s="4"/>
    </row>
    <row r="149" spans="2:2" x14ac:dyDescent="0.25">
      <c r="B149" s="4"/>
    </row>
    <row r="150" spans="2:2" x14ac:dyDescent="0.25">
      <c r="B150" s="4"/>
    </row>
    <row r="151" spans="2:2" x14ac:dyDescent="0.25">
      <c r="B151" s="4"/>
    </row>
    <row r="152" spans="2:2" x14ac:dyDescent="0.25">
      <c r="B152" s="4"/>
    </row>
    <row r="153" spans="2:2" x14ac:dyDescent="0.25">
      <c r="B153" s="4"/>
    </row>
    <row r="154" spans="2:2" x14ac:dyDescent="0.25">
      <c r="B154" s="4"/>
    </row>
    <row r="155" spans="2:2" x14ac:dyDescent="0.25">
      <c r="B155" s="4"/>
    </row>
    <row r="156" spans="2:2" x14ac:dyDescent="0.25">
      <c r="B156" s="4"/>
    </row>
    <row r="157" spans="2:2" x14ac:dyDescent="0.25">
      <c r="B157" s="4"/>
    </row>
    <row r="158" spans="2:2" x14ac:dyDescent="0.25">
      <c r="B158" s="4"/>
    </row>
    <row r="159" spans="2:2" x14ac:dyDescent="0.25">
      <c r="B159" s="4"/>
    </row>
    <row r="160" spans="2:2" x14ac:dyDescent="0.25">
      <c r="B160" s="4"/>
    </row>
    <row r="161" spans="2:2" x14ac:dyDescent="0.25">
      <c r="B161" s="4"/>
    </row>
    <row r="162" spans="2:2" x14ac:dyDescent="0.25">
      <c r="B162" s="4"/>
    </row>
    <row r="163" spans="2:2" x14ac:dyDescent="0.25">
      <c r="B163" s="4"/>
    </row>
    <row r="164" spans="2:2" x14ac:dyDescent="0.25">
      <c r="B164" s="4"/>
    </row>
    <row r="165" spans="2:2" x14ac:dyDescent="0.25">
      <c r="B165" s="4"/>
    </row>
    <row r="166" spans="2:2" x14ac:dyDescent="0.25">
      <c r="B166" s="4"/>
    </row>
    <row r="167" spans="2:2" x14ac:dyDescent="0.25">
      <c r="B167" s="4"/>
    </row>
    <row r="168" spans="2:2" x14ac:dyDescent="0.25">
      <c r="B168" s="4"/>
    </row>
    <row r="169" spans="2:2" x14ac:dyDescent="0.25">
      <c r="B169" s="4"/>
    </row>
    <row r="170" spans="2:2" x14ac:dyDescent="0.25">
      <c r="B170" s="4"/>
    </row>
    <row r="171" spans="2:2" x14ac:dyDescent="0.25">
      <c r="B171" s="4"/>
    </row>
    <row r="172" spans="2:2" x14ac:dyDescent="0.25">
      <c r="B172" s="4"/>
    </row>
    <row r="173" spans="2:2" x14ac:dyDescent="0.25">
      <c r="B173" s="4"/>
    </row>
    <row r="174" spans="2:2" x14ac:dyDescent="0.25">
      <c r="B174" s="4"/>
    </row>
    <row r="175" spans="2:2" x14ac:dyDescent="0.25">
      <c r="B175" s="4"/>
    </row>
    <row r="176" spans="2:2" x14ac:dyDescent="0.25">
      <c r="B176" s="4"/>
    </row>
    <row r="177" spans="2:2" x14ac:dyDescent="0.25">
      <c r="B177" s="4"/>
    </row>
    <row r="178" spans="2:2" x14ac:dyDescent="0.25">
      <c r="B178" s="4"/>
    </row>
    <row r="179" spans="2:2" x14ac:dyDescent="0.25">
      <c r="B179" s="4"/>
    </row>
    <row r="180" spans="2:2" x14ac:dyDescent="0.25">
      <c r="B180" s="4"/>
    </row>
    <row r="181" spans="2:2" x14ac:dyDescent="0.25">
      <c r="B181" s="4"/>
    </row>
    <row r="182" spans="2:2" x14ac:dyDescent="0.25">
      <c r="B182" s="4"/>
    </row>
    <row r="183" spans="2:2" x14ac:dyDescent="0.25">
      <c r="B183" s="4"/>
    </row>
    <row r="184" spans="2:2" x14ac:dyDescent="0.25">
      <c r="B184" s="4"/>
    </row>
    <row r="185" spans="2:2" x14ac:dyDescent="0.25">
      <c r="B185" s="4"/>
    </row>
    <row r="186" spans="2:2" x14ac:dyDescent="0.25">
      <c r="B186" s="4"/>
    </row>
    <row r="187" spans="2:2" x14ac:dyDescent="0.25">
      <c r="B187" s="4"/>
    </row>
    <row r="188" spans="2:2" x14ac:dyDescent="0.25">
      <c r="B188" s="4"/>
    </row>
    <row r="189" spans="2:2" x14ac:dyDescent="0.25">
      <c r="B189" s="4"/>
    </row>
    <row r="190" spans="2:2" x14ac:dyDescent="0.25">
      <c r="B190" s="4"/>
    </row>
    <row r="191" spans="2:2" x14ac:dyDescent="0.25">
      <c r="B191" s="4"/>
    </row>
    <row r="192" spans="2:2" x14ac:dyDescent="0.25">
      <c r="B192" s="4"/>
    </row>
    <row r="193" spans="2:2" x14ac:dyDescent="0.25">
      <c r="B193" s="4"/>
    </row>
    <row r="194" spans="2:2" x14ac:dyDescent="0.25">
      <c r="B194" s="4"/>
    </row>
    <row r="195" spans="2:2" x14ac:dyDescent="0.25">
      <c r="B195" s="4"/>
    </row>
    <row r="196" spans="2:2" x14ac:dyDescent="0.25">
      <c r="B196" s="4"/>
    </row>
    <row r="197" spans="2:2" x14ac:dyDescent="0.25">
      <c r="B197" s="4"/>
    </row>
    <row r="198" spans="2:2" x14ac:dyDescent="0.25">
      <c r="B198" s="4"/>
    </row>
    <row r="199" spans="2:2" x14ac:dyDescent="0.25">
      <c r="B199" s="4"/>
    </row>
    <row r="200" spans="2:2" x14ac:dyDescent="0.25">
      <c r="B200" s="4"/>
    </row>
    <row r="201" spans="2:2" x14ac:dyDescent="0.25">
      <c r="B201" s="4"/>
    </row>
    <row r="202" spans="2:2" x14ac:dyDescent="0.25">
      <c r="B202" s="4"/>
    </row>
    <row r="203" spans="2:2" x14ac:dyDescent="0.25">
      <c r="B203" s="4"/>
    </row>
    <row r="204" spans="2:2" x14ac:dyDescent="0.25">
      <c r="B204" s="4"/>
    </row>
    <row r="205" spans="2:2" x14ac:dyDescent="0.25">
      <c r="B205" s="4"/>
    </row>
    <row r="206" spans="2:2" x14ac:dyDescent="0.25">
      <c r="B206" s="4"/>
    </row>
    <row r="207" spans="2:2" x14ac:dyDescent="0.25">
      <c r="B207" s="4"/>
    </row>
    <row r="208" spans="2:2" x14ac:dyDescent="0.25">
      <c r="B208" s="4"/>
    </row>
    <row r="209" spans="2:2" x14ac:dyDescent="0.25">
      <c r="B209" s="4"/>
    </row>
    <row r="210" spans="2:2" x14ac:dyDescent="0.25">
      <c r="B210" s="4"/>
    </row>
    <row r="211" spans="2:2" x14ac:dyDescent="0.25">
      <c r="B211" s="4"/>
    </row>
    <row r="212" spans="2:2" x14ac:dyDescent="0.25">
      <c r="B212" s="4"/>
    </row>
    <row r="213" spans="2:2" x14ac:dyDescent="0.25">
      <c r="B213" s="4"/>
    </row>
    <row r="214" spans="2:2" x14ac:dyDescent="0.25">
      <c r="B214" s="4"/>
    </row>
    <row r="215" spans="2:2" x14ac:dyDescent="0.25">
      <c r="B215" s="4"/>
    </row>
    <row r="216" spans="2:2" x14ac:dyDescent="0.25">
      <c r="B216" s="4"/>
    </row>
    <row r="217" spans="2:2" x14ac:dyDescent="0.25">
      <c r="B217" s="4"/>
    </row>
    <row r="218" spans="2:2" x14ac:dyDescent="0.25">
      <c r="B218" s="4"/>
    </row>
    <row r="219" spans="2:2" x14ac:dyDescent="0.25">
      <c r="B219" s="4"/>
    </row>
    <row r="220" spans="2:2" x14ac:dyDescent="0.25">
      <c r="B220" s="4"/>
    </row>
    <row r="221" spans="2:2" x14ac:dyDescent="0.25">
      <c r="B221" s="4"/>
    </row>
    <row r="222" spans="2:2" x14ac:dyDescent="0.25">
      <c r="B222" s="4"/>
    </row>
    <row r="223" spans="2:2" x14ac:dyDescent="0.25">
      <c r="B223" s="4"/>
    </row>
    <row r="224" spans="2:2" x14ac:dyDescent="0.25">
      <c r="B224" s="4"/>
    </row>
    <row r="225" spans="2:2" x14ac:dyDescent="0.25">
      <c r="B225" s="4"/>
    </row>
    <row r="226" spans="2:2" x14ac:dyDescent="0.25">
      <c r="B226" s="4"/>
    </row>
    <row r="227" spans="2:2" x14ac:dyDescent="0.25">
      <c r="B227" s="4"/>
    </row>
    <row r="228" spans="2:2" x14ac:dyDescent="0.25">
      <c r="B228" s="4"/>
    </row>
    <row r="229" spans="2:2" x14ac:dyDescent="0.25">
      <c r="B229" s="4"/>
    </row>
    <row r="230" spans="2:2" x14ac:dyDescent="0.25">
      <c r="B230" s="4"/>
    </row>
    <row r="231" spans="2:2" x14ac:dyDescent="0.25">
      <c r="B231" s="4"/>
    </row>
    <row r="232" spans="2:2" x14ac:dyDescent="0.25">
      <c r="B232" s="4"/>
    </row>
    <row r="233" spans="2:2" x14ac:dyDescent="0.25">
      <c r="B233" s="4"/>
    </row>
    <row r="234" spans="2:2" x14ac:dyDescent="0.25">
      <c r="B234" s="4"/>
    </row>
    <row r="235" spans="2:2" x14ac:dyDescent="0.25">
      <c r="B235" s="4"/>
    </row>
    <row r="236" spans="2:2" x14ac:dyDescent="0.25">
      <c r="B236" s="4"/>
    </row>
    <row r="237" spans="2:2" x14ac:dyDescent="0.25">
      <c r="B237" s="4"/>
    </row>
    <row r="238" spans="2:2" x14ac:dyDescent="0.25">
      <c r="B238" s="4"/>
    </row>
    <row r="239" spans="2:2" x14ac:dyDescent="0.25">
      <c r="B239" s="4"/>
    </row>
    <row r="240" spans="2:2" x14ac:dyDescent="0.25">
      <c r="B240" s="4"/>
    </row>
    <row r="241" spans="2:2" x14ac:dyDescent="0.25">
      <c r="B241" s="4"/>
    </row>
    <row r="242" spans="2:2" x14ac:dyDescent="0.25">
      <c r="B242" s="4"/>
    </row>
    <row r="243" spans="2:2" x14ac:dyDescent="0.25">
      <c r="B243" s="4"/>
    </row>
    <row r="244" spans="2:2" x14ac:dyDescent="0.25">
      <c r="B244" s="4"/>
    </row>
    <row r="245" spans="2:2" x14ac:dyDescent="0.25">
      <c r="B245" s="4"/>
    </row>
    <row r="246" spans="2:2" x14ac:dyDescent="0.25">
      <c r="B246" s="4"/>
    </row>
    <row r="247" spans="2:2" x14ac:dyDescent="0.25">
      <c r="B247" s="4"/>
    </row>
    <row r="248" spans="2:2" x14ac:dyDescent="0.25">
      <c r="B248" s="4"/>
    </row>
    <row r="249" spans="2:2" x14ac:dyDescent="0.25">
      <c r="B249" s="4"/>
    </row>
    <row r="250" spans="2:2" x14ac:dyDescent="0.25">
      <c r="B250" s="4"/>
    </row>
    <row r="251" spans="2:2" x14ac:dyDescent="0.25">
      <c r="B251" s="4"/>
    </row>
    <row r="252" spans="2:2" x14ac:dyDescent="0.25">
      <c r="B252" s="4"/>
    </row>
    <row r="253" spans="2:2" x14ac:dyDescent="0.25">
      <c r="B253" s="4"/>
    </row>
    <row r="254" spans="2:2" x14ac:dyDescent="0.25">
      <c r="B254" s="4"/>
    </row>
    <row r="255" spans="2:2" x14ac:dyDescent="0.25">
      <c r="B255" s="4"/>
    </row>
    <row r="256" spans="2:2" x14ac:dyDescent="0.25">
      <c r="B256" s="4"/>
    </row>
    <row r="257" spans="2:2" x14ac:dyDescent="0.25">
      <c r="B257" s="4"/>
    </row>
    <row r="258" spans="2:2" x14ac:dyDescent="0.25">
      <c r="B258" s="4"/>
    </row>
    <row r="259" spans="2:2" x14ac:dyDescent="0.25">
      <c r="B259" s="4"/>
    </row>
    <row r="260" spans="2:2" x14ac:dyDescent="0.25">
      <c r="B260" s="4"/>
    </row>
    <row r="261" spans="2:2" x14ac:dyDescent="0.25">
      <c r="B261" s="4"/>
    </row>
    <row r="262" spans="2:2" x14ac:dyDescent="0.25">
      <c r="B262" s="4"/>
    </row>
    <row r="263" spans="2:2" x14ac:dyDescent="0.25">
      <c r="B263" s="4"/>
    </row>
    <row r="264" spans="2:2" x14ac:dyDescent="0.25">
      <c r="B264" s="4"/>
    </row>
    <row r="265" spans="2:2" x14ac:dyDescent="0.25">
      <c r="B265" s="4"/>
    </row>
    <row r="266" spans="2:2" x14ac:dyDescent="0.25">
      <c r="B266" s="4"/>
    </row>
    <row r="267" spans="2:2" x14ac:dyDescent="0.25">
      <c r="B267" s="4"/>
    </row>
    <row r="268" spans="2:2" x14ac:dyDescent="0.25">
      <c r="B268" s="4"/>
    </row>
    <row r="269" spans="2:2" x14ac:dyDescent="0.25">
      <c r="B269" s="4"/>
    </row>
    <row r="270" spans="2:2" x14ac:dyDescent="0.25">
      <c r="B270" s="4"/>
    </row>
    <row r="271" spans="2:2" x14ac:dyDescent="0.25">
      <c r="B271" s="4"/>
    </row>
    <row r="272" spans="2:2" x14ac:dyDescent="0.25">
      <c r="B272" s="4"/>
    </row>
    <row r="273" spans="2:2" x14ac:dyDescent="0.25">
      <c r="B273" s="4"/>
    </row>
    <row r="274" spans="2:2" x14ac:dyDescent="0.25">
      <c r="B274" s="4"/>
    </row>
    <row r="275" spans="2:2" x14ac:dyDescent="0.25">
      <c r="B275" s="4"/>
    </row>
    <row r="276" spans="2:2" x14ac:dyDescent="0.25">
      <c r="B276" s="4"/>
    </row>
    <row r="277" spans="2:2" x14ac:dyDescent="0.25">
      <c r="B277" s="4"/>
    </row>
    <row r="278" spans="2:2" x14ac:dyDescent="0.25">
      <c r="B278" s="4"/>
    </row>
    <row r="279" spans="2:2" x14ac:dyDescent="0.25">
      <c r="B279" s="4"/>
    </row>
    <row r="280" spans="2:2" x14ac:dyDescent="0.25">
      <c r="B280" s="4"/>
    </row>
    <row r="281" spans="2:2" x14ac:dyDescent="0.25">
      <c r="B281" s="4"/>
    </row>
    <row r="282" spans="2:2" x14ac:dyDescent="0.25">
      <c r="B282" s="4"/>
    </row>
    <row r="283" spans="2:2" x14ac:dyDescent="0.25">
      <c r="B283" s="4"/>
    </row>
    <row r="284" spans="2:2" x14ac:dyDescent="0.25">
      <c r="B284" s="4"/>
    </row>
    <row r="285" spans="2:2" x14ac:dyDescent="0.25">
      <c r="B285" s="4"/>
    </row>
    <row r="286" spans="2:2" x14ac:dyDescent="0.25">
      <c r="B286" s="4"/>
    </row>
    <row r="287" spans="2:2" x14ac:dyDescent="0.25">
      <c r="B287" s="4"/>
    </row>
    <row r="288" spans="2:2" x14ac:dyDescent="0.25">
      <c r="B288" s="4"/>
    </row>
    <row r="289" spans="2:2" x14ac:dyDescent="0.25">
      <c r="B289" s="4"/>
    </row>
    <row r="290" spans="2:2" x14ac:dyDescent="0.25">
      <c r="B290" s="4"/>
    </row>
    <row r="291" spans="2:2" x14ac:dyDescent="0.25">
      <c r="B291" s="4"/>
    </row>
    <row r="292" spans="2:2" x14ac:dyDescent="0.25">
      <c r="B292" s="4"/>
    </row>
    <row r="293" spans="2:2" x14ac:dyDescent="0.25">
      <c r="B293" s="4"/>
    </row>
    <row r="294" spans="2:2" x14ac:dyDescent="0.25">
      <c r="B294" s="4"/>
    </row>
    <row r="295" spans="2:2" x14ac:dyDescent="0.25">
      <c r="B295" s="4"/>
    </row>
    <row r="296" spans="2:2" x14ac:dyDescent="0.25">
      <c r="B296" s="4"/>
    </row>
    <row r="297" spans="2:2" x14ac:dyDescent="0.25">
      <c r="B297" s="4"/>
    </row>
    <row r="298" spans="2:2" x14ac:dyDescent="0.25">
      <c r="B298" s="4"/>
    </row>
    <row r="299" spans="2:2" x14ac:dyDescent="0.25">
      <c r="B299" s="4"/>
    </row>
    <row r="300" spans="2:2" x14ac:dyDescent="0.25">
      <c r="B300" s="4"/>
    </row>
    <row r="301" spans="2:2" x14ac:dyDescent="0.25">
      <c r="B301" s="4"/>
    </row>
    <row r="302" spans="2:2" x14ac:dyDescent="0.25">
      <c r="B302" s="4"/>
    </row>
    <row r="303" spans="2:2" x14ac:dyDescent="0.25">
      <c r="B303" s="4"/>
    </row>
    <row r="304" spans="2:2" x14ac:dyDescent="0.25">
      <c r="B304" s="4"/>
    </row>
    <row r="305" spans="2:2" x14ac:dyDescent="0.25">
      <c r="B305" s="4"/>
    </row>
    <row r="306" spans="2:2" x14ac:dyDescent="0.25">
      <c r="B306" s="4"/>
    </row>
    <row r="307" spans="2:2" x14ac:dyDescent="0.25">
      <c r="B307" s="4"/>
    </row>
    <row r="308" spans="2:2" x14ac:dyDescent="0.25">
      <c r="B308" s="4"/>
    </row>
    <row r="309" spans="2:2" x14ac:dyDescent="0.25">
      <c r="B309" s="4"/>
    </row>
    <row r="310" spans="2:2" x14ac:dyDescent="0.25">
      <c r="B310" s="4"/>
    </row>
    <row r="311" spans="2:2" x14ac:dyDescent="0.25">
      <c r="B311" s="4"/>
    </row>
    <row r="312" spans="2:2" x14ac:dyDescent="0.25">
      <c r="B312" s="4"/>
    </row>
    <row r="313" spans="2:2" x14ac:dyDescent="0.25">
      <c r="B313" s="4"/>
    </row>
    <row r="314" spans="2:2" x14ac:dyDescent="0.25">
      <c r="B314" s="4"/>
    </row>
    <row r="315" spans="2:2" x14ac:dyDescent="0.25">
      <c r="B315" s="4"/>
    </row>
    <row r="316" spans="2:2" x14ac:dyDescent="0.25">
      <c r="B316" s="4"/>
    </row>
    <row r="317" spans="2:2" x14ac:dyDescent="0.25">
      <c r="B317" s="4"/>
    </row>
    <row r="318" spans="2:2" x14ac:dyDescent="0.25">
      <c r="B318" s="4"/>
    </row>
    <row r="319" spans="2:2" x14ac:dyDescent="0.25">
      <c r="B319" s="4"/>
    </row>
    <row r="320" spans="2:2" x14ac:dyDescent="0.25">
      <c r="B320" s="4"/>
    </row>
    <row r="321" spans="2:2" x14ac:dyDescent="0.25">
      <c r="B321" s="4"/>
    </row>
    <row r="322" spans="2:2" x14ac:dyDescent="0.25">
      <c r="B322" s="4"/>
    </row>
    <row r="323" spans="2:2" x14ac:dyDescent="0.25">
      <c r="B323" s="4"/>
    </row>
    <row r="324" spans="2:2" x14ac:dyDescent="0.25">
      <c r="B324" s="4"/>
    </row>
    <row r="325" spans="2:2" x14ac:dyDescent="0.25">
      <c r="B325" s="4"/>
    </row>
    <row r="326" spans="2:2" x14ac:dyDescent="0.25">
      <c r="B326" s="4"/>
    </row>
    <row r="327" spans="2:2" x14ac:dyDescent="0.25">
      <c r="B327" s="4"/>
    </row>
    <row r="328" spans="2:2" x14ac:dyDescent="0.25">
      <c r="B328" s="4"/>
    </row>
    <row r="329" spans="2:2" x14ac:dyDescent="0.25">
      <c r="B329" s="4"/>
    </row>
    <row r="330" spans="2:2" x14ac:dyDescent="0.25">
      <c r="B330" s="4"/>
    </row>
    <row r="331" spans="2:2" x14ac:dyDescent="0.25">
      <c r="B331" s="4"/>
    </row>
    <row r="332" spans="2:2" x14ac:dyDescent="0.25">
      <c r="B332" s="4"/>
    </row>
    <row r="333" spans="2:2" x14ac:dyDescent="0.25">
      <c r="B333" s="4"/>
    </row>
    <row r="334" spans="2:2" x14ac:dyDescent="0.25">
      <c r="B334" s="4"/>
    </row>
    <row r="335" spans="2:2" x14ac:dyDescent="0.25">
      <c r="B335" s="4"/>
    </row>
    <row r="336" spans="2:2" x14ac:dyDescent="0.25">
      <c r="B336" s="4"/>
    </row>
    <row r="337" spans="2:2" x14ac:dyDescent="0.25">
      <c r="B337" s="4"/>
    </row>
    <row r="338" spans="2:2" x14ac:dyDescent="0.25">
      <c r="B338" s="4"/>
    </row>
    <row r="339" spans="2:2" x14ac:dyDescent="0.25">
      <c r="B339" s="4"/>
    </row>
    <row r="340" spans="2:2" x14ac:dyDescent="0.25">
      <c r="B340" s="4"/>
    </row>
    <row r="341" spans="2:2" x14ac:dyDescent="0.25">
      <c r="B341" s="4"/>
    </row>
    <row r="342" spans="2:2" x14ac:dyDescent="0.25">
      <c r="B342" s="4"/>
    </row>
    <row r="343" spans="2:2" x14ac:dyDescent="0.25">
      <c r="B343" s="4"/>
    </row>
    <row r="344" spans="2:2" x14ac:dyDescent="0.25">
      <c r="B344" s="4"/>
    </row>
    <row r="345" spans="2:2" x14ac:dyDescent="0.25">
      <c r="B345" s="4"/>
    </row>
    <row r="346" spans="2:2" x14ac:dyDescent="0.25">
      <c r="B346" s="4"/>
    </row>
    <row r="347" spans="2:2" x14ac:dyDescent="0.25">
      <c r="B347" s="4"/>
    </row>
    <row r="348" spans="2:2" x14ac:dyDescent="0.25">
      <c r="B348" s="4"/>
    </row>
    <row r="349" spans="2:2" x14ac:dyDescent="0.25">
      <c r="B349" s="4"/>
    </row>
    <row r="350" spans="2:2" x14ac:dyDescent="0.25">
      <c r="B350" s="4"/>
    </row>
    <row r="351" spans="2:2" x14ac:dyDescent="0.25">
      <c r="B351" s="4"/>
    </row>
    <row r="352" spans="2:2" x14ac:dyDescent="0.25">
      <c r="B352" s="4"/>
    </row>
    <row r="353" spans="2:2" x14ac:dyDescent="0.25">
      <c r="B353" s="4"/>
    </row>
    <row r="354" spans="2:2" x14ac:dyDescent="0.25">
      <c r="B354" s="4"/>
    </row>
    <row r="355" spans="2:2" x14ac:dyDescent="0.25">
      <c r="B355" s="4"/>
    </row>
    <row r="356" spans="2:2" x14ac:dyDescent="0.25">
      <c r="B356" s="4"/>
    </row>
    <row r="357" spans="2:2" x14ac:dyDescent="0.25">
      <c r="B357" s="4"/>
    </row>
    <row r="358" spans="2:2" x14ac:dyDescent="0.25">
      <c r="B358" s="4"/>
    </row>
    <row r="359" spans="2:2" x14ac:dyDescent="0.25">
      <c r="B359" s="4"/>
    </row>
    <row r="360" spans="2:2" x14ac:dyDescent="0.25">
      <c r="B360" s="4"/>
    </row>
    <row r="361" spans="2:2" x14ac:dyDescent="0.25">
      <c r="B361" s="4"/>
    </row>
    <row r="362" spans="2:2" x14ac:dyDescent="0.25">
      <c r="B362" s="4"/>
    </row>
    <row r="363" spans="2:2" x14ac:dyDescent="0.25">
      <c r="B363" s="4"/>
    </row>
    <row r="364" spans="2:2" x14ac:dyDescent="0.25">
      <c r="B364" s="4"/>
    </row>
    <row r="365" spans="2:2" x14ac:dyDescent="0.25">
      <c r="B365" s="4"/>
    </row>
    <row r="366" spans="2:2" x14ac:dyDescent="0.25">
      <c r="B366" s="4"/>
    </row>
    <row r="367" spans="2:2" x14ac:dyDescent="0.25">
      <c r="B367" s="4"/>
    </row>
    <row r="368" spans="2:2" x14ac:dyDescent="0.25">
      <c r="B368" s="4"/>
    </row>
    <row r="369" spans="2:2" x14ac:dyDescent="0.25">
      <c r="B369" s="4"/>
    </row>
    <row r="370" spans="2:2" x14ac:dyDescent="0.25">
      <c r="B370" s="4"/>
    </row>
    <row r="371" spans="2:2" x14ac:dyDescent="0.25">
      <c r="B371" s="4"/>
    </row>
    <row r="372" spans="2:2" x14ac:dyDescent="0.25">
      <c r="B372" s="4"/>
    </row>
    <row r="373" spans="2:2" x14ac:dyDescent="0.25">
      <c r="B373" s="4"/>
    </row>
    <row r="374" spans="2:2" x14ac:dyDescent="0.25">
      <c r="B374" s="4"/>
    </row>
    <row r="375" spans="2:2" x14ac:dyDescent="0.25">
      <c r="B375" s="4"/>
    </row>
    <row r="376" spans="2:2" x14ac:dyDescent="0.25">
      <c r="B376" s="4"/>
    </row>
    <row r="377" spans="2:2" x14ac:dyDescent="0.25">
      <c r="B377" s="4"/>
    </row>
    <row r="378" spans="2:2" x14ac:dyDescent="0.25">
      <c r="B378" s="4"/>
    </row>
    <row r="379" spans="2:2" x14ac:dyDescent="0.25">
      <c r="B379" s="4"/>
    </row>
    <row r="380" spans="2:2" x14ac:dyDescent="0.25">
      <c r="B380" s="4"/>
    </row>
    <row r="381" spans="2:2" x14ac:dyDescent="0.25">
      <c r="B381" s="4"/>
    </row>
    <row r="382" spans="2:2" x14ac:dyDescent="0.25">
      <c r="B382" s="4"/>
    </row>
    <row r="383" spans="2:2" x14ac:dyDescent="0.25">
      <c r="B383" s="4"/>
    </row>
    <row r="384" spans="2:2" x14ac:dyDescent="0.25">
      <c r="B384" s="4"/>
    </row>
    <row r="385" spans="2:2" x14ac:dyDescent="0.25">
      <c r="B385" s="4"/>
    </row>
    <row r="386" spans="2:2" x14ac:dyDescent="0.25">
      <c r="B386" s="4"/>
    </row>
    <row r="387" spans="2:2" x14ac:dyDescent="0.25">
      <c r="B387" s="4"/>
    </row>
    <row r="388" spans="2:2" x14ac:dyDescent="0.25">
      <c r="B388" s="4"/>
    </row>
    <row r="389" spans="2:2" x14ac:dyDescent="0.25">
      <c r="B389" s="4"/>
    </row>
    <row r="390" spans="2:2" x14ac:dyDescent="0.25">
      <c r="B390" s="4"/>
    </row>
    <row r="391" spans="2:2" x14ac:dyDescent="0.25">
      <c r="B391" s="4"/>
    </row>
    <row r="392" spans="2:2" x14ac:dyDescent="0.25">
      <c r="B392" s="4"/>
    </row>
    <row r="393" spans="2:2" x14ac:dyDescent="0.25">
      <c r="B393" s="4"/>
    </row>
    <row r="394" spans="2:2" x14ac:dyDescent="0.25">
      <c r="B394" s="4"/>
    </row>
    <row r="395" spans="2:2" x14ac:dyDescent="0.25">
      <c r="B395" s="4"/>
    </row>
    <row r="396" spans="2:2" x14ac:dyDescent="0.25">
      <c r="B396" s="4"/>
    </row>
    <row r="397" spans="2:2" x14ac:dyDescent="0.25">
      <c r="B397" s="4"/>
    </row>
    <row r="398" spans="2:2" x14ac:dyDescent="0.25">
      <c r="B398" s="4"/>
    </row>
    <row r="399" spans="2:2" x14ac:dyDescent="0.25">
      <c r="B399" s="4"/>
    </row>
    <row r="400" spans="2:2" x14ac:dyDescent="0.25">
      <c r="B400" s="4"/>
    </row>
    <row r="401" spans="2:2" x14ac:dyDescent="0.25">
      <c r="B401" s="4"/>
    </row>
    <row r="402" spans="2:2" x14ac:dyDescent="0.25">
      <c r="B402" s="4"/>
    </row>
    <row r="403" spans="2:2" x14ac:dyDescent="0.25">
      <c r="B403" s="4"/>
    </row>
    <row r="404" spans="2:2" x14ac:dyDescent="0.25">
      <c r="B404" s="4"/>
    </row>
    <row r="405" spans="2:2" x14ac:dyDescent="0.25">
      <c r="B405" s="4"/>
    </row>
    <row r="406" spans="2:2" x14ac:dyDescent="0.25">
      <c r="B406" s="4"/>
    </row>
    <row r="407" spans="2:2" x14ac:dyDescent="0.25">
      <c r="B407" s="4"/>
    </row>
    <row r="408" spans="2:2" x14ac:dyDescent="0.25">
      <c r="B408" s="4"/>
    </row>
    <row r="409" spans="2:2" x14ac:dyDescent="0.25">
      <c r="B409" s="4"/>
    </row>
    <row r="410" spans="2:2" x14ac:dyDescent="0.25">
      <c r="B410" s="4"/>
    </row>
    <row r="411" spans="2:2" x14ac:dyDescent="0.25">
      <c r="B411" s="4"/>
    </row>
    <row r="412" spans="2:2" x14ac:dyDescent="0.25">
      <c r="B412" s="4"/>
    </row>
    <row r="413" spans="2:2" x14ac:dyDescent="0.25">
      <c r="B413" s="4"/>
    </row>
    <row r="414" spans="2:2" x14ac:dyDescent="0.25">
      <c r="B414" s="4"/>
    </row>
    <row r="415" spans="2:2" x14ac:dyDescent="0.25">
      <c r="B415" s="4"/>
    </row>
    <row r="416" spans="2:2" x14ac:dyDescent="0.25">
      <c r="B416" s="4"/>
    </row>
    <row r="417" spans="2:2" x14ac:dyDescent="0.25">
      <c r="B417" s="4"/>
    </row>
    <row r="418" spans="2:2" x14ac:dyDescent="0.25">
      <c r="B418" s="4"/>
    </row>
    <row r="419" spans="2:2" x14ac:dyDescent="0.25">
      <c r="B419" s="4"/>
    </row>
    <row r="420" spans="2:2" x14ac:dyDescent="0.25">
      <c r="B420" s="4"/>
    </row>
    <row r="421" spans="2:2" x14ac:dyDescent="0.25">
      <c r="B421" s="4"/>
    </row>
    <row r="422" spans="2:2" x14ac:dyDescent="0.25">
      <c r="B422" s="4"/>
    </row>
    <row r="423" spans="2:2" x14ac:dyDescent="0.25">
      <c r="B423" s="4"/>
    </row>
    <row r="424" spans="2:2" x14ac:dyDescent="0.25">
      <c r="B424" s="4"/>
    </row>
    <row r="425" spans="2:2" x14ac:dyDescent="0.25">
      <c r="B425" s="4"/>
    </row>
    <row r="426" spans="2:2" x14ac:dyDescent="0.25">
      <c r="B426" s="4"/>
    </row>
    <row r="427" spans="2:2" x14ac:dyDescent="0.25">
      <c r="B427" s="4"/>
    </row>
    <row r="428" spans="2:2" x14ac:dyDescent="0.25">
      <c r="B428" s="4"/>
    </row>
    <row r="429" spans="2:2" x14ac:dyDescent="0.25">
      <c r="B429" s="4"/>
    </row>
    <row r="430" spans="2:2" x14ac:dyDescent="0.25">
      <c r="B430" s="4"/>
    </row>
    <row r="431" spans="2:2" x14ac:dyDescent="0.25">
      <c r="B431" s="4"/>
    </row>
    <row r="432" spans="2:2" x14ac:dyDescent="0.25">
      <c r="B432" s="4"/>
    </row>
    <row r="433" spans="2:2" x14ac:dyDescent="0.25">
      <c r="B433" s="4"/>
    </row>
    <row r="434" spans="2:2" x14ac:dyDescent="0.25">
      <c r="B434" s="4"/>
    </row>
    <row r="435" spans="2:2" x14ac:dyDescent="0.25">
      <c r="B435" s="4"/>
    </row>
    <row r="436" spans="2:2" x14ac:dyDescent="0.25">
      <c r="B436" s="4"/>
    </row>
    <row r="437" spans="2:2" x14ac:dyDescent="0.25">
      <c r="B437" s="4"/>
    </row>
    <row r="438" spans="2:2" x14ac:dyDescent="0.25">
      <c r="B438" s="4"/>
    </row>
    <row r="439" spans="2:2" x14ac:dyDescent="0.25">
      <c r="B439" s="4"/>
    </row>
    <row r="440" spans="2:2" x14ac:dyDescent="0.25">
      <c r="B440" s="4"/>
    </row>
    <row r="441" spans="2:2" x14ac:dyDescent="0.25">
      <c r="B441" s="4"/>
    </row>
    <row r="442" spans="2:2" x14ac:dyDescent="0.25">
      <c r="B442" s="4"/>
    </row>
    <row r="443" spans="2:2" x14ac:dyDescent="0.25">
      <c r="B443" s="4"/>
    </row>
    <row r="444" spans="2:2" x14ac:dyDescent="0.25">
      <c r="B444" s="4"/>
    </row>
    <row r="445" spans="2:2" x14ac:dyDescent="0.25">
      <c r="B445" s="4"/>
    </row>
    <row r="446" spans="2:2" x14ac:dyDescent="0.25">
      <c r="B446" s="4"/>
    </row>
    <row r="447" spans="2:2" x14ac:dyDescent="0.25">
      <c r="B447" s="4"/>
    </row>
    <row r="448" spans="2:2" x14ac:dyDescent="0.25">
      <c r="B448" s="4"/>
    </row>
    <row r="449" spans="2:2" x14ac:dyDescent="0.25">
      <c r="B449" s="4"/>
    </row>
    <row r="450" spans="2:2" x14ac:dyDescent="0.25">
      <c r="B450" s="4"/>
    </row>
    <row r="451" spans="2:2" x14ac:dyDescent="0.25">
      <c r="B451" s="4"/>
    </row>
    <row r="452" spans="2:2" x14ac:dyDescent="0.25">
      <c r="B452" s="4"/>
    </row>
    <row r="453" spans="2:2" x14ac:dyDescent="0.25">
      <c r="B453" s="4"/>
    </row>
    <row r="454" spans="2:2" x14ac:dyDescent="0.25">
      <c r="B454" s="4"/>
    </row>
    <row r="455" spans="2:2" x14ac:dyDescent="0.25">
      <c r="B455" s="4"/>
    </row>
    <row r="456" spans="2:2" x14ac:dyDescent="0.25">
      <c r="B456" s="4"/>
    </row>
    <row r="457" spans="2:2" x14ac:dyDescent="0.25">
      <c r="B457" s="4"/>
    </row>
    <row r="458" spans="2:2" x14ac:dyDescent="0.25">
      <c r="B458" s="4"/>
    </row>
    <row r="459" spans="2:2" x14ac:dyDescent="0.25">
      <c r="B459" s="4"/>
    </row>
    <row r="460" spans="2:2" x14ac:dyDescent="0.25">
      <c r="B460" s="4"/>
    </row>
    <row r="461" spans="2:2" x14ac:dyDescent="0.25">
      <c r="B461" s="4"/>
    </row>
    <row r="462" spans="2:2" x14ac:dyDescent="0.25">
      <c r="B462" s="4"/>
    </row>
    <row r="463" spans="2:2" x14ac:dyDescent="0.25">
      <c r="B463" s="4"/>
    </row>
    <row r="464" spans="2:2" x14ac:dyDescent="0.25">
      <c r="B464" s="4"/>
    </row>
    <row r="465" spans="2:2" x14ac:dyDescent="0.25">
      <c r="B465" s="4"/>
    </row>
    <row r="466" spans="2:2" x14ac:dyDescent="0.25">
      <c r="B466" s="4"/>
    </row>
    <row r="467" spans="2:2" x14ac:dyDescent="0.25">
      <c r="B467" s="4"/>
    </row>
    <row r="468" spans="2:2" x14ac:dyDescent="0.25">
      <c r="B468" s="4"/>
    </row>
    <row r="469" spans="2:2" x14ac:dyDescent="0.25">
      <c r="B469" s="4"/>
    </row>
    <row r="470" spans="2:2" x14ac:dyDescent="0.25">
      <c r="B470" s="4"/>
    </row>
    <row r="471" spans="2:2" x14ac:dyDescent="0.25">
      <c r="B471" s="4"/>
    </row>
    <row r="472" spans="2:2" x14ac:dyDescent="0.25">
      <c r="B472" s="4"/>
    </row>
    <row r="473" spans="2:2" x14ac:dyDescent="0.25">
      <c r="B473" s="4"/>
    </row>
    <row r="474" spans="2:2" x14ac:dyDescent="0.25">
      <c r="B474" s="4"/>
    </row>
    <row r="475" spans="2:2" x14ac:dyDescent="0.25">
      <c r="B475" s="4"/>
    </row>
    <row r="476" spans="2:2" x14ac:dyDescent="0.25">
      <c r="B476" s="4"/>
    </row>
    <row r="477" spans="2:2" x14ac:dyDescent="0.25">
      <c r="B477" s="4"/>
    </row>
    <row r="478" spans="2:2" x14ac:dyDescent="0.25">
      <c r="B478" s="4"/>
    </row>
    <row r="479" spans="2:2" x14ac:dyDescent="0.25">
      <c r="B479" s="4"/>
    </row>
    <row r="480" spans="2:2" x14ac:dyDescent="0.25">
      <c r="B480" s="4"/>
    </row>
    <row r="481" spans="2:2" x14ac:dyDescent="0.25">
      <c r="B481" s="4"/>
    </row>
    <row r="482" spans="2:2" x14ac:dyDescent="0.25">
      <c r="B482" s="4"/>
    </row>
    <row r="483" spans="2:2" x14ac:dyDescent="0.25">
      <c r="B483" s="4"/>
    </row>
    <row r="484" spans="2:2" x14ac:dyDescent="0.25">
      <c r="B484" s="4"/>
    </row>
    <row r="485" spans="2:2" x14ac:dyDescent="0.25">
      <c r="B485" s="4"/>
    </row>
    <row r="486" spans="2:2" x14ac:dyDescent="0.25">
      <c r="B486" s="4"/>
    </row>
    <row r="487" spans="2:2" x14ac:dyDescent="0.25">
      <c r="B487" s="4"/>
    </row>
    <row r="488" spans="2:2" x14ac:dyDescent="0.25">
      <c r="B488" s="4"/>
    </row>
    <row r="489" spans="2:2" x14ac:dyDescent="0.25">
      <c r="B489" s="4"/>
    </row>
    <row r="490" spans="2:2" x14ac:dyDescent="0.25">
      <c r="B490" s="4"/>
    </row>
  </sheetData>
  <phoneticPr fontId="7" type="noConversion"/>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zoomScaleNormal="100" workbookViewId="0">
      <selection activeCell="A4" sqref="A4:XFD11"/>
    </sheetView>
  </sheetViews>
  <sheetFormatPr defaultColWidth="8.7109375" defaultRowHeight="15" x14ac:dyDescent="0.25"/>
  <cols>
    <col min="1" max="1" width="20" customWidth="1"/>
    <col min="2" max="2" width="65" customWidth="1"/>
    <col min="3" max="3" width="45" customWidth="1"/>
  </cols>
  <sheetData>
    <row r="1" spans="1:3" ht="17.25" customHeight="1" x14ac:dyDescent="0.25">
      <c r="A1" s="1" t="s">
        <v>183</v>
      </c>
    </row>
    <row r="3" spans="1:3" ht="15" customHeight="1" x14ac:dyDescent="0.25">
      <c r="A3" s="2" t="s">
        <v>0</v>
      </c>
      <c r="B3" s="2" t="s">
        <v>1</v>
      </c>
      <c r="C3" s="2" t="s">
        <v>2</v>
      </c>
    </row>
    <row r="4" spans="1:3" ht="15" customHeight="1" x14ac:dyDescent="0.25">
      <c r="A4" s="3" t="s">
        <v>3</v>
      </c>
      <c r="B4" s="3" t="s">
        <v>4</v>
      </c>
      <c r="C4" s="3" t="s">
        <v>5</v>
      </c>
    </row>
    <row r="5" spans="1:3" ht="15" customHeight="1" x14ac:dyDescent="0.25">
      <c r="A5" s="3" t="s">
        <v>6</v>
      </c>
      <c r="B5" s="3" t="s">
        <v>180</v>
      </c>
      <c r="C5" s="3" t="s">
        <v>7</v>
      </c>
    </row>
    <row r="6" spans="1:3" ht="34.5" customHeight="1" x14ac:dyDescent="0.25">
      <c r="A6" s="3" t="s">
        <v>8</v>
      </c>
      <c r="B6" s="3" t="s">
        <v>9</v>
      </c>
      <c r="C6" s="3" t="s">
        <v>10</v>
      </c>
    </row>
    <row r="7" spans="1:3" ht="23.25" customHeight="1" x14ac:dyDescent="0.25">
      <c r="A7" s="3" t="s">
        <v>11</v>
      </c>
      <c r="B7" s="3" t="s">
        <v>12</v>
      </c>
      <c r="C7" s="3" t="s">
        <v>13</v>
      </c>
    </row>
    <row r="8" spans="1:3" ht="15" customHeight="1" x14ac:dyDescent="0.25">
      <c r="A8" s="3" t="s">
        <v>14</v>
      </c>
      <c r="B8" s="3" t="s">
        <v>15</v>
      </c>
      <c r="C8" s="3" t="s">
        <v>16</v>
      </c>
    </row>
    <row r="9" spans="1:3" ht="15" customHeight="1" x14ac:dyDescent="0.25">
      <c r="A9" s="3" t="s">
        <v>188</v>
      </c>
      <c r="B9" s="3" t="s">
        <v>17</v>
      </c>
      <c r="C9" s="3" t="s">
        <v>18</v>
      </c>
    </row>
    <row r="10" spans="1:3" ht="15" customHeight="1" x14ac:dyDescent="0.25">
      <c r="A10" s="3" t="s">
        <v>19</v>
      </c>
      <c r="B10" s="3" t="s">
        <v>181</v>
      </c>
      <c r="C10" s="3" t="s">
        <v>20</v>
      </c>
    </row>
    <row r="11" spans="1:3" ht="23.25" customHeight="1" x14ac:dyDescent="0.25">
      <c r="A11" s="3" t="s">
        <v>21</v>
      </c>
      <c r="B11" s="3" t="s">
        <v>182</v>
      </c>
      <c r="C11" s="3" t="s">
        <v>22</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zoomScaleNormal="100" workbookViewId="0">
      <selection activeCell="B14" sqref="B14"/>
    </sheetView>
  </sheetViews>
  <sheetFormatPr defaultColWidth="8.7109375" defaultRowHeight="15" x14ac:dyDescent="0.25"/>
  <cols>
    <col min="1" max="1" width="8" customWidth="1"/>
    <col min="2" max="2" width="45.42578125" customWidth="1"/>
    <col min="3" max="3" width="79.7109375" customWidth="1"/>
  </cols>
  <sheetData>
    <row r="1" spans="1:3" ht="17.25" customHeight="1" x14ac:dyDescent="0.25">
      <c r="A1" s="1" t="s">
        <v>23</v>
      </c>
    </row>
    <row r="3" spans="1:3" ht="15" customHeight="1" x14ac:dyDescent="0.25">
      <c r="A3" s="2" t="s">
        <v>3</v>
      </c>
      <c r="B3" s="2" t="s">
        <v>6</v>
      </c>
      <c r="C3" s="2" t="s">
        <v>24</v>
      </c>
    </row>
    <row r="4" spans="1:3" ht="15" customHeight="1" x14ac:dyDescent="0.25">
      <c r="A4" s="3">
        <v>0</v>
      </c>
      <c r="B4" s="3" t="s">
        <v>115</v>
      </c>
      <c r="C4" s="7" t="s">
        <v>178</v>
      </c>
    </row>
    <row r="5" spans="1:3" ht="15" customHeight="1" x14ac:dyDescent="0.25">
      <c r="A5" s="3">
        <v>1</v>
      </c>
      <c r="B5" s="3" t="s">
        <v>7</v>
      </c>
      <c r="C5" s="7" t="s">
        <v>179</v>
      </c>
    </row>
    <row r="6" spans="1:3" ht="15" customHeight="1" x14ac:dyDescent="0.25">
      <c r="A6" s="3">
        <v>2</v>
      </c>
      <c r="B6" s="3" t="s">
        <v>25</v>
      </c>
      <c r="C6" s="3" t="s">
        <v>26</v>
      </c>
    </row>
    <row r="7" spans="1:3" ht="15" customHeight="1" x14ac:dyDescent="0.25">
      <c r="A7" s="3">
        <v>3</v>
      </c>
      <c r="B7" s="3" t="s">
        <v>101</v>
      </c>
      <c r="C7" s="3" t="s">
        <v>102</v>
      </c>
    </row>
    <row r="8" spans="1:3" x14ac:dyDescent="0.25">
      <c r="A8" s="6">
        <v>4</v>
      </c>
      <c r="B8" s="6" t="s">
        <v>100</v>
      </c>
      <c r="C8" s="6" t="s">
        <v>103</v>
      </c>
    </row>
    <row r="9" spans="1:3" ht="15" customHeight="1" x14ac:dyDescent="0.25">
      <c r="A9" s="3">
        <v>5</v>
      </c>
      <c r="B9" s="3" t="s">
        <v>27</v>
      </c>
      <c r="C9" s="3" t="s">
        <v>28</v>
      </c>
    </row>
    <row r="10" spans="1:3" ht="15" customHeight="1" x14ac:dyDescent="0.25">
      <c r="A10" s="3">
        <v>6</v>
      </c>
      <c r="B10" s="3" t="s">
        <v>29</v>
      </c>
      <c r="C10" s="3" t="s">
        <v>30</v>
      </c>
    </row>
    <row r="11" spans="1:3" ht="15" customHeight="1" x14ac:dyDescent="0.25">
      <c r="A11" s="3">
        <v>7</v>
      </c>
      <c r="B11" s="3" t="s">
        <v>192</v>
      </c>
      <c r="C11" s="3" t="s">
        <v>31</v>
      </c>
    </row>
    <row r="12" spans="1:3" ht="15" customHeight="1" x14ac:dyDescent="0.25">
      <c r="A12" s="3">
        <v>8</v>
      </c>
      <c r="B12" s="3" t="s">
        <v>193</v>
      </c>
      <c r="C12" s="3" t="s">
        <v>190</v>
      </c>
    </row>
    <row r="13" spans="1:3" ht="15" customHeight="1" x14ac:dyDescent="0.25">
      <c r="A13" s="6">
        <v>9</v>
      </c>
      <c r="B13" s="3" t="s">
        <v>194</v>
      </c>
      <c r="C13" s="3" t="s">
        <v>189</v>
      </c>
    </row>
    <row r="14" spans="1:3" ht="15" customHeight="1" x14ac:dyDescent="0.25">
      <c r="A14" s="3">
        <v>10</v>
      </c>
      <c r="B14" s="3" t="s">
        <v>33</v>
      </c>
      <c r="C14" s="3" t="s">
        <v>191</v>
      </c>
    </row>
    <row r="15" spans="1:3" ht="15" customHeight="1" x14ac:dyDescent="0.25">
      <c r="A15" s="3">
        <v>11</v>
      </c>
      <c r="B15" s="3" t="s">
        <v>34</v>
      </c>
      <c r="C15" s="3" t="s">
        <v>35</v>
      </c>
    </row>
    <row r="16" spans="1:3" ht="15" customHeight="1" x14ac:dyDescent="0.25">
      <c r="A16" s="3">
        <v>12</v>
      </c>
      <c r="B16" s="3" t="s">
        <v>36</v>
      </c>
      <c r="C16" s="3" t="s">
        <v>37</v>
      </c>
    </row>
    <row r="17" spans="1:3" ht="15" customHeight="1" x14ac:dyDescent="0.25">
      <c r="A17" s="3">
        <v>13</v>
      </c>
      <c r="B17" s="7" t="s">
        <v>173</v>
      </c>
      <c r="C17" s="3" t="s">
        <v>38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Benchmark Log</vt:lpstr>
      <vt:lpstr>Legend</vt:lpstr>
      <vt:lpstr>Tier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ALBERT PANG KIAN CHENG</cp:lastModifiedBy>
  <cp:revision>0</cp:revision>
  <dcterms:created xsi:type="dcterms:W3CDTF">2026-08-13T03:56:35Z</dcterms:created>
  <dcterms:modified xsi:type="dcterms:W3CDTF">2026-08-17T14:54:08Z</dcterms:modified>
  <dc:language>en-US</dc:language>
</cp:coreProperties>
</file>